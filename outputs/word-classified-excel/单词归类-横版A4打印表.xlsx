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80ec6d033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" sheetId="1" r:id="R437bfca9b11e473e"/>
    <x:sheet xmlns:r="http://schemas.openxmlformats.org/officeDocument/2006/relationships" name="打印版" sheetId="2" r:id="R5108ac569aa04838"/>
    <x:sheet xmlns:r="http://schemas.openxmlformats.org/officeDocument/2006/relationships" name="数据版" sheetId="3" r:id="R6dba6abd7f31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"/>
      <x:name val="Microsoft YaHei"/>
    </x:font>
    <x:font>
      <x:b/>
      <x:sz val="9"/>
      <x:color rgb="16324F"/>
      <x:name val="Microsoft YaHei"/>
    </x:font>
    <x:font>
      <x:sz val="8"/>
      <x:color rgb="16324F"/>
      <x:name val="Microsoft YaHei"/>
    </x:font>
    <x:font>
      <x:b/>
      <x:sz val="9"/>
      <x:color rgb="0F3557"/>
      <x:name val="Calibri"/>
    </x:font>
    <x:font>
      <x:i/>
      <x:sz val="8"/>
      <x:color rgb="495B6B"/>
      <x:name val="Calibri"/>
    </x:font>
    <x:font>
      <x:b/>
      <x:sz val="20"/>
      <x:color rgb="FFFFFF"/>
      <x:name val="Microsoft YaHei"/>
    </x:font>
    <x:font>
      <x:sz val="10"/>
      <x:color rgb="16324F"/>
      <x:name val="Microsoft YaHei"/>
    </x:font>
    <x:font>
      <x:b/>
      <x:sz val="10"/>
      <x:color rgb="16324F"/>
      <x:name val="Microsoft YaHei"/>
    </x:font>
    <x:font>
      <x:b/>
      <x:sz val="10"/>
      <x:color rgb="FFFFFF"/>
      <x:name val="Microsoft YaHei"/>
    </x:font>
    <x:font>
      <x:sz val="9"/>
      <x:color rgb="16324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6C85F"/>
      </x:patternFill>
    </x:fill>
    <x:fill>
      <x:patternFill patternType="solid">
        <x:fgColor rgb="EEF6FC"/>
      </x:patternFill>
    </x:fill>
    <x:fill>
      <x:patternFill patternType="solid">
        <x:fgColor rgb="FFFFFF"/>
      </x:patternFill>
    </x:fill>
  </x:fills>
  <x:borders count="19">
    <x:border/>
    <x:border>
      <x:left style="thin">
        <x:color rgb="A9C4D8"/>
      </x:left>
      <x:right style="thin">
        <x:color rgb="A9C4D8"/>
      </x:right>
      <x:top style="thin">
        <x:color rgb="A9C4D8"/>
      </x:top>
      <x:bottom style="thin">
        <x:color rgb="A9C4D8"/>
      </x:bottom>
    </x:border>
    <x:border>
      <x:left style="thin">
        <x:color rgb="DCE7F0"/>
      </x:left>
      <x:right style="thin">
        <x:color rgb="DCE7F0"/>
      </x:right>
      <x:top style="thin">
        <x:color rgb="DCE7F0"/>
      </x:top>
      <x:bottom style="thin">
        <x:color rgb="DCE7F0"/>
      </x:bottom>
    </x:border>
    <x:border>
      <x:left style="medium">
        <x:color rgb="2E75B6"/>
      </x:left>
      <x:top style="medium">
        <x:color rgb="2E75B6"/>
      </x:top>
    </x:border>
    <x:border>
      <x:top style="medium">
        <x:color rgb="2E75B6"/>
      </x:top>
    </x:border>
    <x:border>
      <x:right style="medium">
        <x:color rgb="2E75B6"/>
      </x:right>
      <x:top style="medium">
        <x:color rgb="2E75B6"/>
      </x:top>
    </x:border>
    <x:border>
      <x:left style="medium">
        <x:color rgb="2E75B6"/>
      </x:left>
      <x:right style="thin">
        <x:color rgb="A9C4D8"/>
      </x:right>
      <x:top style="thin">
        <x:color rgb="A9C4D8"/>
      </x:top>
      <x:bottom style="thin">
        <x:color rgb="A9C4D8"/>
      </x:bottom>
    </x:border>
    <x:border>
      <x:left style="thin">
        <x:color rgb="A9C4D8"/>
      </x:left>
      <x:right style="medium">
        <x:color rgb="2E75B6"/>
      </x:right>
      <x:top style="thin">
        <x:color rgb="A9C4D8"/>
      </x:top>
      <x:bottom style="thin">
        <x:color rgb="A9C4D8"/>
      </x:bottom>
    </x:border>
    <x:border>
      <x:right style="medium">
        <x:color rgb="2E75B6"/>
      </x:right>
    </x:border>
    <x:border>
      <x:left style="medium">
        <x:color rgb="2E75B6"/>
      </x:left>
      <x:right style="thin">
        <x:color rgb="DCE7F0"/>
      </x:right>
      <x:top style="thin">
        <x:color rgb="DCE7F0"/>
      </x:top>
      <x:bottom style="thin">
        <x:color rgb="DCE7F0"/>
      </x:bottom>
    </x:border>
    <x:border>
      <x:left style="thin">
        <x:color rgb="DCE7F0"/>
      </x:left>
      <x:right style="medium">
        <x:color rgb="2E75B6"/>
      </x:right>
      <x:top style="thin">
        <x:color rgb="DCE7F0"/>
      </x:top>
      <x:bottom style="thin">
        <x:color rgb="DCE7F0"/>
      </x:bottom>
    </x:border>
    <x:border>
      <x:left style="medium">
        <x:color rgb="2E75B6"/>
      </x:left>
      <x:right style="thin">
        <x:color rgb="DCE7F0"/>
      </x:right>
      <x:top style="thin">
        <x:color rgb="DCE7F0"/>
      </x:top>
      <x:bottom style="medium">
        <x:color rgb="2E75B6"/>
      </x:bottom>
    </x:border>
    <x:border>
      <x:left style="thin">
        <x:color rgb="DCE7F0"/>
      </x:left>
      <x:right style="thin">
        <x:color rgb="DCE7F0"/>
      </x:right>
      <x:top style="thin">
        <x:color rgb="DCE7F0"/>
      </x:top>
      <x:bottom style="medium">
        <x:color rgb="2E75B6"/>
      </x:bottom>
    </x:border>
    <x:border>
      <x:left style="thin">
        <x:color rgb="DCE7F0"/>
      </x:left>
      <x:right style="medium">
        <x:color rgb="2E75B6"/>
      </x:right>
      <x:top style="thin">
        <x:color rgb="DCE7F0"/>
      </x:top>
      <x:bottom style="medium">
        <x:color rgb="2E75B6"/>
      </x:bottom>
    </x:border>
    <x:border>
      <x:left style="medium">
        <x:color rgb="2E75B6"/>
      </x:left>
    </x:border>
    <x:border>
      <x:left style="medium">
        <x:color rgb="2E75B6"/>
      </x:left>
      <x:bottom style="medium">
        <x:color rgb="2E75B6"/>
      </x:bottom>
    </x:border>
    <x:border>
      <x:bottom style="medium">
        <x:color rgb="2E75B6"/>
      </x:bottom>
    </x:border>
    <x:border>
      <x:right style="medium">
        <x:color rgb="2E75B6"/>
      </x:right>
      <x:bottom style="medium">
        <x:color rgb="2E75B6"/>
      </x:bottom>
    </x:border>
    <x:border>
      <x:left style="medium">
        <x:color rgb="2E75B6"/>
      </x:left>
      <x:right style="thin">
        <x:color rgb="A9C4D8"/>
      </x:right>
      <x:top style="thin">
        <x:color rgb="A9C4D8"/>
      </x:top>
      <x:bottom style="medium">
        <x:color rgb="2E75B6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left"/>
    </x:xf>
    <x:xf numFmtId="0" fontId="2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2" fillId="4" borderId="6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4" fillId="5" borderId="9" xfId="0" applyNumberFormat="1" applyFont="1" applyFill="1" applyBorder="1" applyAlignment="1">
      <x:alignment vertical="top" wrapText="1"/>
    </x:xf>
    <x:xf numFmtId="0" fontId="3" fillId="5" borderId="10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6" borderId="1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3" fillId="5" borderId="1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4" borderId="18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center"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2" fillId="3" borderId="6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3" borderId="7" xfId="0" applyNumberFormat="1" applyFont="1" applyFill="1" applyBorder="1" applyAlignment="1">
      <x:alignment horizontal="center" vertical="top"/>
    </x:xf>
    <x:xf numFmtId="0" fontId="2" fillId="4" borderId="6" xfId="0" applyNumberFormat="1" applyFont="1" applyFill="1" applyBorder="1" applyAlignment="1">
      <x:alignment horizontal="left"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2" fillId="4" borderId="18" xfId="0" applyNumberFormat="1" applyFont="1" applyFill="1" applyBorder="1" applyAlignment="1">
      <x:alignment horizontal="left" vertical="top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2" fillId="4" borderId="6" xfId="0" applyNumberFormat="1" applyFont="1" applyFill="1" applyBorder="1" applyAlignment="1">
      <x:alignment horizontal="left"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4" borderId="18" xfId="0" applyNumberFormat="1" applyFont="1" applyFill="1" applyBorder="1" applyAlignment="1">
      <x:alignment horizontal="left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2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/>
    <x:xf numFmtId="0" fontId="10" fillId="6" borderId="2" xfId="0" applyNumberFormat="1" applyFont="1" applyFill="1" applyBorder="1"/>
    <x:xf numFmtId="0" fontId="10" fillId="6" borderId="2" xfId="0" applyNumberFormat="1" applyFont="1" applyFill="1" applyBorder="1" applyAlignment="1">
      <x:alignment wrapText="1"/>
    </x:xf>
    <x:xf numFmtId="0" fontId="10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1198421ac471f" /><Relationship Type="http://schemas.openxmlformats.org/officeDocument/2006/relationships/theme" Target="/xl/theme/theme1.xml" Id="Rea58f042998b41c7" /><Relationship Type="http://schemas.openxmlformats.org/officeDocument/2006/relationships/sharedStrings" Target="/xl/sharedStrings.xml" Id="R85527ccde3934091" /><Relationship Type="http://schemas.openxmlformats.org/officeDocument/2006/relationships/worksheet" Target="/xl/worksheets/sheet1.xml" Id="R437bfca9b11e473e" /><Relationship Type="http://schemas.openxmlformats.org/officeDocument/2006/relationships/worksheet" Target="/xl/worksheets/sheet2.xml" Id="R5108ac569aa04838" /><Relationship Type="http://schemas.openxmlformats.org/officeDocument/2006/relationships/worksheet" Target="/xl/worksheets/sheet3.xml" Id="R6dba6abd7f314837" /></Relationships>
</file>

<file path=xl/tables/table1.xml><?xml version="1.0" encoding="utf-8"?>
<x:table xmlns:x="http://schemas.openxmlformats.org/spreadsheetml/2006/main" id="1" name="WordClassificationData" displayName="WordClassificationData" ref="A1:G1760" headerRowCount="1">
  <x:autoFilter ref="A1:G1760"/>
  <x:tableColumns count="7">
    <x:tableColumn id="1" name="字母"/>
    <x:tableColumn id="2" name="分类"/>
    <x:tableColumn id="3" name="序号"/>
    <x:tableColumn id="4" name="英文单词/短语"/>
    <x:tableColumn id="5" name="音标"/>
    <x:tableColumn id="6" name="中文解释"/>
    <x:tableColumn id="7" name="原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fe9ef38c70e40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30000019073486" hidden="0" customWidth="1"/>
    <x:col min="2" max="2" width="8.960000038146973" hidden="0" customWidth="1"/>
    <x:col min="3" max="3" width="2.5799999237060547" hidden="0" customWidth="1"/>
    <x:col min="4" max="4" width="15.34000015258789" hidden="0" customWidth="1"/>
    <x:col min="5" max="5" width="8.960000038146973" hidden="0" customWidth="1"/>
    <x:col min="6" max="6" width="2.5799999237060547" hidden="0" customWidth="1"/>
    <x:col min="7" max="7" width="11.65999984741211" hidden="0" customWidth="1"/>
    <x:col min="8" max="8" width="10.180000305175781" hidden="0" customWidth="1"/>
  </x:cols>
  <x:sheetData>
    <x:row r="1" ht="34" customHeight="1">
      <x:c r="A1" s="82" t="str">
        <x:v>单词归类横版打印表</x:v>
      </x:c>
    </x:row>
    <x:row r="2">
      <x:c r="A2" s="85" t="str">
        <x:v>共 1759 条词条。打印版按 A4 横向三栏平铺；数据版保留完整筛选明细。</x:v>
      </x:c>
    </x:row>
    <x:row r="4">
      <x:c r="A4" s="88" t="str">
        <x:v>字母</x:v>
      </x:c>
      <x:c r="B4" s="88" t="str">
        <x:v>词条数</x:v>
      </x:c>
      <x:c r="D4" s="88" t="str">
        <x:v>分类</x:v>
      </x:c>
      <x:c r="E4" s="88" t="str">
        <x:v>词条数</x:v>
      </x:c>
      <x:c r="G4" s="88" t="str">
        <x:v>快捷入口</x:v>
      </x:c>
      <x:c r="H4" s="88" t="str">
        <x:v>说明</x:v>
      </x:c>
    </x:row>
    <x:row r="5">
      <x:c r="A5" s="91" t="str">
        <x:v>A</x:v>
      </x:c>
      <x:c r="B5" s="91" t="n">
        <x:v>104</x:v>
      </x:c>
      <x:c r="D5" s="91" t="str">
        <x:v>名词</x:v>
      </x:c>
      <x:c r="E5" s="91" t="n">
        <x:v>726</x:v>
      </x:c>
      <x:c r="G5" s="91" t="e">
        <x:f>HYPERLINK("#'打印版'!A1","A 开头")</x:f>
      </x:c>
      <x:c r="H5" s="91" t="str">
        <x:v>104 条</x:v>
      </x:c>
    </x:row>
    <x:row r="6">
      <x:c r="A6" s="91" t="str">
        <x:v>B</x:v>
      </x:c>
      <x:c r="B6" s="91" t="n">
        <x:v>85</x:v>
      </x:c>
      <x:c r="D6" s="91" t="str">
        <x:v>动词</x:v>
      </x:c>
      <x:c r="E6" s="91" t="n">
        <x:v>288</x:v>
      </x:c>
      <x:c r="G6" s="91" t="e">
        <x:f>HYPERLINK("#'打印版'!A55","B 开头")</x:f>
      </x:c>
      <x:c r="H6" s="91" t="str">
        <x:v>85 条</x:v>
      </x:c>
    </x:row>
    <x:row r="7">
      <x:c r="A7" s="91" t="str">
        <x:v>C</x:v>
      </x:c>
      <x:c r="B7" s="91" t="n">
        <x:v>121</x:v>
      </x:c>
      <x:c r="D7" s="91" t="str">
        <x:v>形容词</x:v>
      </x:c>
      <x:c r="E7" s="91" t="n">
        <x:v>269</x:v>
      </x:c>
      <x:c r="G7" s="91" t="e">
        <x:f>HYPERLINK("#'打印版'!A109","C 开头")</x:f>
      </x:c>
      <x:c r="H7" s="91" t="str">
        <x:v>121 条</x:v>
      </x:c>
    </x:row>
    <x:row r="8">
      <x:c r="A8" s="91" t="str">
        <x:v>D</x:v>
      </x:c>
      <x:c r="B8" s="91" t="n">
        <x:v>59</x:v>
      </x:c>
      <x:c r="D8" s="91" t="str">
        <x:v>副词</x:v>
      </x:c>
      <x:c r="E8" s="91" t="n">
        <x:v>102</x:v>
      </x:c>
      <x:c r="G8" s="91" t="e">
        <x:f>HYPERLINK("#'打印版'!A163","D 开头")</x:f>
      </x:c>
      <x:c r="H8" s="91" t="str">
        <x:v>59 条</x:v>
      </x:c>
    </x:row>
    <x:row r="9">
      <x:c r="A9" s="91" t="str">
        <x:v>E</x:v>
      </x:c>
      <x:c r="B9" s="91" t="n">
        <x:v>56</x:v>
      </x:c>
      <x:c r="D9" s="91" t="str">
        <x:v>介词</x:v>
      </x:c>
      <x:c r="E9" s="91" t="n">
        <x:v>42</x:v>
      </x:c>
      <x:c r="G9" s="91" t="e">
        <x:f>HYPERLINK("#'打印版'!A190","E 开头")</x:f>
      </x:c>
      <x:c r="H9" s="91" t="str">
        <x:v>56 条</x:v>
      </x:c>
    </x:row>
    <x:row r="10">
      <x:c r="A10" s="91" t="str">
        <x:v>F</x:v>
      </x:c>
      <x:c r="B10" s="91" t="n">
        <x:v>101</x:v>
      </x:c>
      <x:c r="D10" s="91" t="str">
        <x:v>连词</x:v>
      </x:c>
      <x:c r="E10" s="91" t="n">
        <x:v>15</x:v>
      </x:c>
      <x:c r="G10" s="91" t="e">
        <x:f>HYPERLINK("#'打印版'!A217","F 开头")</x:f>
      </x:c>
      <x:c r="H10" s="91" t="str">
        <x:v>101 条</x:v>
      </x:c>
    </x:row>
    <x:row r="11">
      <x:c r="A11" s="91" t="str">
        <x:v>G</x:v>
      </x:c>
      <x:c r="B11" s="91" t="n">
        <x:v>32</x:v>
      </x:c>
      <x:c r="D11" s="91" t="str">
        <x:v>代词</x:v>
      </x:c>
      <x:c r="E11" s="91" t="n">
        <x:v>63</x:v>
      </x:c>
      <x:c r="G11" s="91" t="e">
        <x:f>HYPERLINK("#'打印版'!A271","G 开头")</x:f>
      </x:c>
      <x:c r="H11" s="91" t="str">
        <x:v>32 条</x:v>
      </x:c>
    </x:row>
    <x:row r="12">
      <x:c r="A12" s="91" t="str">
        <x:v>H</x:v>
      </x:c>
      <x:c r="B12" s="91" t="n">
        <x:v>83</x:v>
      </x:c>
      <x:c r="D12" s="91" t="str">
        <x:v>数词</x:v>
      </x:c>
      <x:c r="E12" s="91" t="n">
        <x:v>35</x:v>
      </x:c>
      <x:c r="G12" s="91" t="e">
        <x:f>HYPERLINK("#'打印版'!A298","H 开头")</x:f>
      </x:c>
      <x:c r="H12" s="91" t="str">
        <x:v>83 条</x:v>
      </x:c>
    </x:row>
    <x:row r="13">
      <x:c r="A13" s="91" t="str">
        <x:v>I</x:v>
      </x:c>
      <x:c r="B13" s="91" t="n">
        <x:v>41</x:v>
      </x:c>
      <x:c r="D13" s="91" t="str">
        <x:v>感叹词</x:v>
      </x:c>
      <x:c r="E13" s="91" t="n">
        <x:v>7</x:v>
      </x:c>
      <x:c r="G13" s="91" t="e">
        <x:f>HYPERLINK("#'打印版'!A352","I 开头")</x:f>
      </x:c>
      <x:c r="H13" s="91" t="str">
        <x:v>41 条</x:v>
      </x:c>
    </x:row>
    <x:row r="14">
      <x:c r="A14" s="91" t="str">
        <x:v>J</x:v>
      </x:c>
      <x:c r="B14" s="91" t="n">
        <x:v>4</x:v>
      </x:c>
      <x:c r="D14" s="91" t="str">
        <x:v>情态动词</x:v>
      </x:c>
      <x:c r="E14" s="91" t="n">
        <x:v>2</x:v>
      </x:c>
      <x:c r="G14" s="91" t="e">
        <x:f>HYPERLINK("#'打印版'!A379","J 开头")</x:f>
      </x:c>
      <x:c r="H14" s="91" t="str">
        <x:v>4 条</x:v>
      </x:c>
    </x:row>
    <x:row r="15">
      <x:c r="A15" s="91" t="str">
        <x:v>K</x:v>
      </x:c>
      <x:c r="B15" s="91" t="n">
        <x:v>18</x:v>
      </x:c>
      <x:c r="D15" s="91" t="str">
        <x:v>短语</x:v>
      </x:c>
      <x:c r="E15" s="91" t="n">
        <x:v>210</x:v>
      </x:c>
      <x:c r="G15" s="91" t="e">
        <x:f>HYPERLINK("#'打印版'!A406","K 开头")</x:f>
      </x:c>
      <x:c r="H15" s="91" t="str">
        <x:v>18 条</x:v>
      </x:c>
    </x:row>
    <x:row r="16">
      <x:c r="A16" s="91" t="str">
        <x:v>L</x:v>
      </x:c>
      <x:c r="B16" s="91" t="n">
        <x:v>89</x:v>
      </x:c>
      <x:c r="G16" s="91" t="e">
        <x:f>HYPERLINK("#'打印版'!A433","L 开头")</x:f>
      </x:c>
      <x:c r="H16" s="91" t="str">
        <x:v>89 条</x:v>
      </x:c>
    </x:row>
    <x:row r="17">
      <x:c r="A17" s="91" t="str">
        <x:v>M</x:v>
      </x:c>
      <x:c r="B17" s="91" t="n">
        <x:v>65</x:v>
      </x:c>
      <x:c r="G17" s="91" t="e">
        <x:f>HYPERLINK("#'打印版'!A487","M 开头")</x:f>
      </x:c>
      <x:c r="H17" s="91" t="str">
        <x:v>65 条</x:v>
      </x:c>
    </x:row>
    <x:row r="18">
      <x:c r="A18" s="91" t="str">
        <x:v>N</x:v>
      </x:c>
      <x:c r="B18" s="91" t="n">
        <x:v>56</x:v>
      </x:c>
      <x:c r="G18" s="91" t="e">
        <x:f>HYPERLINK("#'打印版'!A514","N 开头")</x:f>
      </x:c>
      <x:c r="H18" s="91" t="str">
        <x:v>56 条</x:v>
      </x:c>
    </x:row>
    <x:row r="19">
      <x:c r="A19" s="91" t="str">
        <x:v>O</x:v>
      </x:c>
      <x:c r="B19" s="91" t="n">
        <x:v>50</x:v>
      </x:c>
      <x:c r="G19" s="91" t="e">
        <x:f>HYPERLINK("#'打印版'!A541","O 开头")</x:f>
      </x:c>
      <x:c r="H19" s="91" t="str">
        <x:v>50 条</x:v>
      </x:c>
    </x:row>
    <x:row r="20">
      <x:c r="A20" s="91" t="str">
        <x:v>P</x:v>
      </x:c>
      <x:c r="B20" s="91" t="n">
        <x:v>198</x:v>
      </x:c>
      <x:c r="G20" s="91" t="e">
        <x:f>HYPERLINK("#'打印版'!A568","P 开头")</x:f>
      </x:c>
      <x:c r="H20" s="91" t="str">
        <x:v>198 条</x:v>
      </x:c>
    </x:row>
    <x:row r="21">
      <x:c r="A21" s="91" t="str">
        <x:v>Q</x:v>
      </x:c>
      <x:c r="B21" s="91" t="n">
        <x:v>8</x:v>
      </x:c>
      <x:c r="G21" s="91" t="e">
        <x:f>HYPERLINK("#'打印版'!A649","Q 开头")</x:f>
      </x:c>
      <x:c r="H21" s="91" t="str">
        <x:v>8 条</x:v>
      </x:c>
    </x:row>
    <x:row r="22">
      <x:c r="A22" s="91" t="str">
        <x:v>R</x:v>
      </x:c>
      <x:c r="B22" s="91" t="n">
        <x:v>62</x:v>
      </x:c>
      <x:c r="G22" s="91" t="e">
        <x:f>HYPERLINK("#'打印版'!A676","R 开头")</x:f>
      </x:c>
      <x:c r="H22" s="91" t="str">
        <x:v>62 条</x:v>
      </x:c>
    </x:row>
    <x:row r="23">
      <x:c r="A23" s="91" t="str">
        <x:v>S</x:v>
      </x:c>
      <x:c r="B23" s="91" t="n">
        <x:v>219</x:v>
      </x:c>
      <x:c r="G23" s="91" t="e">
        <x:f>HYPERLINK("#'打印版'!A703","S 开头")</x:f>
      </x:c>
      <x:c r="H23" s="91" t="str">
        <x:v>219 条</x:v>
      </x:c>
    </x:row>
    <x:row r="24">
      <x:c r="A24" s="91" t="str">
        <x:v>T</x:v>
      </x:c>
      <x:c r="B24" s="91" t="n">
        <x:v>151</x:v>
      </x:c>
      <x:c r="G24" s="91" t="e">
        <x:f>HYPERLINK("#'打印版'!A811","T 开头")</x:f>
      </x:c>
      <x:c r="H24" s="91" t="str">
        <x:v>151 条</x:v>
      </x:c>
    </x:row>
    <x:row r="25">
      <x:c r="A25" s="91" t="str">
        <x:v>U</x:v>
      </x:c>
      <x:c r="B25" s="91" t="n">
        <x:v>12</x:v>
      </x:c>
      <x:c r="G25" s="91" t="e">
        <x:f>HYPERLINK("#'打印版'!A892","U 开头")</x:f>
      </x:c>
      <x:c r="H25" s="91" t="str">
        <x:v>12 条</x:v>
      </x:c>
    </x:row>
    <x:row r="26">
      <x:c r="A26" s="91" t="str">
        <x:v>V</x:v>
      </x:c>
      <x:c r="B26" s="91" t="n">
        <x:v>17</x:v>
      </x:c>
      <x:c r="G26" s="91" t="e">
        <x:f>HYPERLINK("#'打印版'!A919","V 开头")</x:f>
      </x:c>
      <x:c r="H26" s="91" t="str">
        <x:v>17 条</x:v>
      </x:c>
    </x:row>
    <x:row r="27">
      <x:c r="A27" s="91" t="str">
        <x:v>W</x:v>
      </x:c>
      <x:c r="B27" s="91" t="n">
        <x:v>102</x:v>
      </x:c>
      <x:c r="G27" s="91" t="e">
        <x:f>HYPERLINK("#'打印版'!A946","W 开头")</x:f>
      </x:c>
      <x:c r="H27" s="91" t="str">
        <x:v>102 条</x:v>
      </x:c>
    </x:row>
    <x:row r="28">
      <x:c r="A28" s="91" t="str">
        <x:v>Y</x:v>
      </x:c>
      <x:c r="B28" s="91" t="n">
        <x:v>22</x:v>
      </x:c>
      <x:c r="G28" s="91" t="e">
        <x:f>HYPERLINK("#'打印版'!A1000","Y 开头")</x:f>
      </x:c>
      <x:c r="H28" s="91" t="str">
        <x:v>22 条</x:v>
      </x:c>
    </x:row>
    <x:row r="29">
      <x:c r="A29" s="91" t="str">
        <x:v>Z</x:v>
      </x:c>
      <x:c r="B29" s="91" t="n">
        <x:v>4</x:v>
      </x:c>
      <x:c r="G29" s="91" t="e">
        <x:f>HYPERLINK("#'打印版'!A1027","Z 开头")</x:f>
      </x:c>
      <x:c r="H29" s="91" t="str">
        <x:v>4 条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80000305175781" hidden="0" customWidth="1"/>
    <x:col min="2" max="2" width="8.960000038146973" hidden="0" customWidth="1"/>
    <x:col min="3" max="3" width="19.6299991607666" hidden="0" customWidth="1"/>
    <x:col min="4" max="4" width="1.350000023841858" hidden="0" customWidth="1"/>
    <x:col min="5" max="5" width="10.180000305175781" hidden="0" customWidth="1"/>
    <x:col min="6" max="6" width="8.960000038146973" hidden="0" customWidth="1"/>
    <x:col min="7" max="7" width="19.6299991607666" hidden="0" customWidth="1"/>
    <x:col min="8" max="8" width="1.350000023841858" hidden="0" customWidth="1"/>
    <x:col min="9" max="9" width="10.180000305175781" hidden="0" customWidth="1"/>
    <x:col min="10" max="10" width="8.960000038146973" hidden="0" customWidth="1"/>
    <x:col min="11" max="11" width="19.6299991607666" hidden="0" customWidth="1"/>
  </x:cols>
  <x:sheetData>
    <x:row r="1" ht="27" customHeight="1">
      <x:c r="A1" s="65" t="str">
        <x:v>A 开头单词（1/2）</x:v>
      </x:c>
      <x:c r="B1" s="66"/>
      <x:c r="C1" s="67"/>
      <x:c r="D1" s="68"/>
      <x:c r="E1" s="69"/>
      <x:c r="F1" s="66"/>
      <x:c r="G1" s="67"/>
      <x:c r="H1" s="68"/>
      <x:c r="I1" s="69"/>
      <x:c r="J1" s="66"/>
      <x:c r="K1" s="67"/>
    </x:row>
    <x:row r="2" ht="19" customHeight="1">
      <x:c r="A2" s="70" t="str">
        <x:v>英文单词 / 短语</x:v>
      </x:c>
      <x:c r="B2" s="71" t="str">
        <x:v>音标</x:v>
      </x:c>
      <x:c r="C2" s="72" t="str">
        <x:v>中文解释</x:v>
      </x:c>
      <x:c r="D2" s="68"/>
      <x:c r="E2" s="70" t="str">
        <x:v>英文单词 / 短语</x:v>
      </x:c>
      <x:c r="F2" s="71" t="str">
        <x:v>音标</x:v>
      </x:c>
      <x:c r="G2" s="72" t="str">
        <x:v>中文解释</x:v>
      </x:c>
      <x:c r="H2" s="68"/>
      <x:c r="I2" s="70" t="str">
        <x:v>英文单词 / 短语</x:v>
      </x:c>
      <x:c r="J2" s="71" t="str">
        <x:v>音标</x:v>
      </x:c>
      <x:c r="K2" s="72" t="str">
        <x:v>中文解释</x:v>
      </x:c>
    </x:row>
    <x:row r="3" ht="20" customHeight="1">
      <x:c r="A3" s="73" t="str">
        <x:v>名词（30）</x:v>
      </x:c>
      <x:c r="B3" s="68"/>
      <x:c r="C3" s="74"/>
      <x:c r="D3" s="68"/>
      <x:c r="E3" s="39" t="str">
        <x:v>astronaut</x:v>
      </x:c>
      <x:c r="F3" s="28" t="str">
        <x:v>/ˈæstrənɔːt/</x:v>
      </x:c>
      <x:c r="G3" s="40" t="str">
        <x:v>宇航员</x:v>
      </x:c>
      <x:c r="H3" s="68"/>
      <x:c r="I3" s="39" t="str">
        <x:v>ancient</x:v>
      </x:c>
      <x:c r="J3" s="28" t="str">
        <x:v>/ˈeɪnʃənt/</x:v>
      </x:c>
      <x:c r="K3" s="40" t="str">
        <x:v>古老的；古代的</x:v>
      </x:c>
    </x:row>
    <x:row r="4" ht="20" customHeight="1">
      <x:c r="A4" s="37" t="str">
        <x:v>ache</x:v>
      </x:c>
      <x:c r="B4" s="21" t="str">
        <x:v>/eɪk/</x:v>
      </x:c>
      <x:c r="C4" s="38" t="str">
        <x:v>痛；疼痛</x:v>
      </x:c>
      <x:c r="D4" s="68"/>
      <x:c r="E4" s="37" t="str">
        <x:v>attention</x:v>
      </x:c>
      <x:c r="F4" s="21" t="str">
        <x:v>/əˈtenʃn/</x:v>
      </x:c>
      <x:c r="G4" s="38" t="str">
        <x:v>注意力</x:v>
      </x:c>
      <x:c r="H4" s="68"/>
      <x:c r="I4" s="37" t="str">
        <x:v>any</x:v>
      </x:c>
      <x:c r="J4" s="21" t="str">
        <x:v>/ˈeni/</x:v>
      </x:c>
      <x:c r="K4" s="38" t="str">
        <x:v>任何一个；一些</x:v>
      </x:c>
    </x:row>
    <x:row r="5" ht="20" customHeight="1">
      <x:c r="A5" s="39" t="str">
        <x:v>activity</x:v>
      </x:c>
      <x:c r="B5" s="28" t="str">
        <x:v>/ækˈtɪvəti/</x:v>
      </x:c>
      <x:c r="C5" s="40" t="str">
        <x:v>活动</x:v>
      </x:c>
      <x:c r="D5" s="68"/>
      <x:c r="E5" s="39" t="str">
        <x:v>August</x:v>
      </x:c>
      <x:c r="F5" s="28" t="str">
        <x:v>/ˈɔːɡəst/</x:v>
      </x:c>
      <x:c r="G5" s="40" t="str">
        <x:v>8月</x:v>
      </x:c>
      <x:c r="H5" s="68"/>
      <x:c r="I5" s="39" t="str">
        <x:v>asleep</x:v>
      </x:c>
      <x:c r="J5" s="28" t="str">
        <x:v>/əˈsliːp/</x:v>
      </x:c>
      <x:c r="K5" s="40" t="str">
        <x:v>睡着的</x:v>
      </x:c>
    </x:row>
    <x:row r="6" ht="20" customHeight="1">
      <x:c r="A6" s="37" t="str">
        <x:v>accident</x:v>
      </x:c>
      <x:c r="B6" s="21" t="str">
        <x:v>/ˈæksɪdənt/</x:v>
      </x:c>
      <x:c r="C6" s="38" t="str">
        <x:v>交通事故；意外事件</x:v>
      </x:c>
      <x:c r="D6" s="68"/>
      <x:c r="E6" s="37" t="str">
        <x:v>Australia</x:v>
      </x:c>
      <x:c r="F6" s="21" t="str">
        <x:v>/ɒˈstreɪliə/</x:v>
      </x:c>
      <x:c r="G6" s="38" t="str">
        <x:v>澳大利亚</x:v>
      </x:c>
      <x:c r="H6" s="68"/>
      <x:c r="I6" s="37" t="str">
        <x:v>awful</x:v>
      </x:c>
      <x:c r="J6" s="21" t="str">
        <x:v>/ˈɔːfl/</x:v>
      </x:c>
      <x:c r="K6" s="38" t="str">
        <x:v>极讨厌的；极坏的</x:v>
      </x:c>
    </x:row>
    <x:row r="7" ht="20" customHeight="1">
      <x:c r="A7" s="39" t="str">
        <x:v>act</x:v>
      </x:c>
      <x:c r="B7" s="28" t="str">
        <x:v>/ækt/</x:v>
      </x:c>
      <x:c r="C7" s="40" t="str">
        <x:v>(戏剧、歌剧或芭蕾舞的)一幕</x:v>
      </x:c>
      <x:c r="D7" s="68"/>
      <x:c r="E7" s="39" t="str">
        <x:v>autumn</x:v>
      </x:c>
      <x:c r="F7" s="28" t="str">
        <x:v>/ˈɔːtəm/</x:v>
      </x:c>
      <x:c r="G7" s="40" t="str">
        <x:v>秋天</x:v>
      </x:c>
      <x:c r="H7" s="68"/>
      <x:c r="I7" s="39" t="str">
        <x:v>Australian</x:v>
      </x:c>
      <x:c r="J7" s="28" t="str">
        <x:v>/ɒˈstreɪliən/</x:v>
      </x:c>
      <x:c r="K7" s="40" t="str">
        <x:v>澳大利亚的</x:v>
      </x:c>
    </x:row>
    <x:row r="8" ht="20" customHeight="1">
      <x:c r="A8" s="37" t="str">
        <x:v>actress</x:v>
      </x:c>
      <x:c r="B8" s="21" t="str">
        <x:v>/ˈæktrəs/</x:v>
      </x:c>
      <x:c r="C8" s="38" t="str">
        <x:v>女演员</x:v>
      </x:c>
      <x:c r="D8" s="68"/>
      <x:c r="E8" s="37" t="str">
        <x:v>advantage</x:v>
      </x:c>
      <x:c r="F8" s="21" t="str">
        <x:v>/ədˈvɑːntɪdʒ/</x:v>
      </x:c>
      <x:c r="G8" s="38" t="str">
        <x:v>有利条件；优势</x:v>
      </x:c>
      <x:c r="H8" s="68"/>
      <x:c r="I8" s="37" t="str">
        <x:v>after-school</x:v>
      </x:c>
      <x:c r="J8" s="21" t="str">
        <x:v>/ˈɑːftə skuːl/</x:v>
      </x:c>
      <x:c r="K8" s="38" t="str">
        <x:v>下午放学后的；课外的</x:v>
      </x:c>
    </x:row>
    <x:row r="9" ht="17" customHeight="1">
      <x:c r="A9" s="39" t="str">
        <x:v>advice</x:v>
      </x:c>
      <x:c r="B9" s="28" t="str">
        <x:v>/ədˈvaɪs/</x:v>
      </x:c>
      <x:c r="C9" s="40" t="str">
        <x:v>意见；建议</x:v>
      </x:c>
      <x:c r="D9" s="68"/>
      <x:c r="E9" s="39" t="str">
        <x:v>afternoon</x:v>
      </x:c>
      <x:c r="F9" s="28" t="str">
        <x:v>/ˌɑːftəˈnuːn/</x:v>
      </x:c>
      <x:c r="G9" s="40" t="str">
        <x:v>下午</x:v>
      </x:c>
      <x:c r="H9" s="68"/>
      <x:c r="I9" s="73" t="str">
        <x:v>副词（14）</x:v>
      </x:c>
      <x:c r="J9" s="68"/>
      <x:c r="K9" s="74"/>
    </x:row>
    <x:row r="10" ht="20" customHeight="1">
      <x:c r="A10" s="37" t="str">
        <x:v>aid</x:v>
      </x:c>
      <x:c r="B10" s="21" t="str">
        <x:v>/eɪd/</x:v>
      </x:c>
      <x:c r="C10" s="38" t="str">
        <x:v>救助；帮助</x:v>
      </x:c>
      <x:c r="D10" s="68"/>
      <x:c r="E10" s="73" t="str">
        <x:v>动词（10）</x:v>
      </x:c>
      <x:c r="F10" s="68"/>
      <x:c r="G10" s="74"/>
      <x:c r="H10" s="68"/>
      <x:c r="I10" s="37" t="str">
        <x:v>about</x:v>
      </x:c>
      <x:c r="J10" s="21" t="str">
        <x:v>/əˈbaʊt/</x:v>
      </x:c>
      <x:c r="K10" s="38" t="str">
        <x:v>大约，大致；向四周；向各处</x:v>
      </x:c>
    </x:row>
    <x:row r="11" ht="20" customHeight="1">
      <x:c r="A11" s="39" t="str">
        <x:v>air</x:v>
      </x:c>
      <x:c r="B11" s="28" t="str">
        <x:v>/eə/</x:v>
      </x:c>
      <x:c r="C11" s="40" t="str">
        <x:v>天空；空中；空气</x:v>
      </x:c>
      <x:c r="D11" s="68"/>
      <x:c r="E11" s="39" t="str">
        <x:v>accept</x:v>
      </x:c>
      <x:c r="F11" s="28" t="str">
        <x:v>/əkˈsept/</x:v>
      </x:c>
      <x:c r="G11" s="40" t="str">
        <x:v>收受；接受</x:v>
      </x:c>
      <x:c r="H11" s="68"/>
      <x:c r="I11" s="39" t="str">
        <x:v>above</x:v>
      </x:c>
      <x:c r="J11" s="28" t="str">
        <x:v>/əˈbʌv/</x:v>
      </x:c>
      <x:c r="K11" s="40" t="str">
        <x:v>在……上方（此处作副词时表示“在上面”，本词表主要作介词）</x:v>
      </x:c>
    </x:row>
    <x:row r="12" ht="20" customHeight="1">
      <x:c r="A12" s="37" t="str">
        <x:v>airport</x:v>
      </x:c>
      <x:c r="B12" s="21" t="str">
        <x:v>/ˈeəpɔːt/</x:v>
      </x:c>
      <x:c r="C12" s="38" t="str">
        <x:v>机场；航空港</x:v>
      </x:c>
      <x:c r="D12" s="68"/>
      <x:c r="E12" s="37" t="str">
        <x:v>afford</x:v>
      </x:c>
      <x:c r="F12" s="21" t="str">
        <x:v>/əˈfɔːd/</x:v>
      </x:c>
      <x:c r="G12" s="38" t="str">
        <x:v>(有财力)买得起，付得起</x:v>
      </x:c>
      <x:c r="H12" s="68"/>
      <x:c r="I12" s="37" t="str">
        <x:v>again</x:v>
      </x:c>
      <x:c r="J12" s="21" t="str">
        <x:v>/əˈɡen/</x:v>
      </x:c>
      <x:c r="K12" s="38" t="str">
        <x:v>再（次），又（一次）</x:v>
      </x:c>
    </x:row>
    <x:row r="13" ht="20" customHeight="1">
      <x:c r="A13" s="39" t="str">
        <x:v>Africa</x:v>
      </x:c>
      <x:c r="B13" s="28" t="str">
        <x:v>/ˈæfrɪkə/</x:v>
      </x:c>
      <x:c r="C13" s="40" t="str">
        <x:v>非洲</x:v>
      </x:c>
      <x:c r="D13" s="68"/>
      <x:c r="E13" s="39" t="str">
        <x:v>advise</x:v>
      </x:c>
      <x:c r="F13" s="28" t="str">
        <x:v>/ədˈvaɪz/</x:v>
      </x:c>
      <x:c r="G13" s="40" t="str">
        <x:v>向……提出意见；忠告；建议</x:v>
      </x:c>
      <x:c r="H13" s="68"/>
      <x:c r="I13" s="39" t="str">
        <x:v>aloud</x:v>
      </x:c>
      <x:c r="J13" s="28" t="str">
        <x:v>/əˈlaʊd/</x:v>
      </x:c>
      <x:c r="K13" s="40" t="str">
        <x:v>大声地；出声地</x:v>
      </x:c>
    </x:row>
    <x:row r="14" ht="20" customHeight="1">
      <x:c r="A14" s="37" t="str">
        <x:v>African</x:v>
      </x:c>
      <x:c r="B14" s="21" t="str">
        <x:v>/ˈæfrɪkən/</x:v>
      </x:c>
      <x:c r="C14" s="38" t="str">
        <x:v>非洲人</x:v>
      </x:c>
      <x:c r="D14" s="68"/>
      <x:c r="E14" s="37" t="str">
        <x:v>agree</x:v>
      </x:c>
      <x:c r="F14" s="21" t="str">
        <x:v>/əˈɡriː/</x:v>
      </x:c>
      <x:c r="G14" s="38" t="str">
        <x:v>赞同</x:v>
      </x:c>
      <x:c r="H14" s="68"/>
      <x:c r="I14" s="37" t="str">
        <x:v>already</x:v>
      </x:c>
      <x:c r="J14" s="21" t="str">
        <x:v>/ɔːlˈredi/</x:v>
      </x:c>
      <x:c r="K14" s="38" t="str">
        <x:v>已经；早已</x:v>
      </x:c>
    </x:row>
    <x:row r="15" ht="20" customHeight="1">
      <x:c r="A15" s="39" t="str">
        <x:v>America</x:v>
      </x:c>
      <x:c r="B15" s="28" t="str">
        <x:v>/əˈmerɪkə/</x:v>
      </x:c>
      <x:c r="C15" s="40" t="str">
        <x:v>美国；美洲</x:v>
      </x:c>
      <x:c r="D15" s="68"/>
      <x:c r="E15" s="39" t="str">
        <x:v>allow</x:v>
      </x:c>
      <x:c r="F15" s="28" t="str">
        <x:v>/əˈlaʊ/</x:v>
      </x:c>
      <x:c r="G15" s="40" t="str">
        <x:v>允许；准许</x:v>
      </x:c>
      <x:c r="H15" s="68"/>
      <x:c r="I15" s="39" t="str">
        <x:v>also</x:v>
      </x:c>
      <x:c r="J15" s="28" t="str">
        <x:v>/ˈɔːlsəʊ/</x:v>
      </x:c>
      <x:c r="K15" s="40" t="str">
        <x:v>也；而且</x:v>
      </x:c>
    </x:row>
    <x:row r="16" ht="20" customHeight="1">
      <x:c r="A16" s="37" t="str">
        <x:v>American</x:v>
      </x:c>
      <x:c r="B16" s="21" t="str">
        <x:v>/əˈmerɪkən/</x:v>
      </x:c>
      <x:c r="C16" s="38" t="str">
        <x:v>美国人；美洲人</x:v>
      </x:c>
      <x:c r="D16" s="68"/>
      <x:c r="E16" s="37" t="str">
        <x:v>appear</x:v>
      </x:c>
      <x:c r="F16" s="21" t="str">
        <x:v>/əˈpɪə/</x:v>
      </x:c>
      <x:c r="G16" s="38" t="str">
        <x:v>出现；显露</x:v>
      </x:c>
      <x:c r="H16" s="68"/>
      <x:c r="I16" s="37" t="str">
        <x:v>always</x:v>
      </x:c>
      <x:c r="J16" s="21" t="str">
        <x:v>/ˈɔːlweɪz/</x:v>
      </x:c>
      <x:c r="K16" s="38" t="str">
        <x:v>总是；一直</x:v>
      </x:c>
    </x:row>
    <x:row r="17" ht="20" customHeight="1">
      <x:c r="A17" s="39" t="str">
        <x:v>animal</x:v>
      </x:c>
      <x:c r="B17" s="28" t="str">
        <x:v>/ˈænɪml/</x:v>
      </x:c>
      <x:c r="C17" s="40" t="str">
        <x:v>动物</x:v>
      </x:c>
      <x:c r="D17" s="68"/>
      <x:c r="E17" s="39" t="str">
        <x:v>arrive</x:v>
      </x:c>
      <x:c r="F17" s="28" t="str">
        <x:v>/əˈraɪv/</x:v>
      </x:c>
      <x:c r="G17" s="40" t="str">
        <x:v>到达</x:v>
      </x:c>
      <x:c r="H17" s="68"/>
      <x:c r="I17" s="39" t="str">
        <x:v>ago</x:v>
      </x:c>
      <x:c r="J17" s="28" t="str">
        <x:v>/əˈɡəʊ/</x:v>
      </x:c>
      <x:c r="K17" s="40" t="str">
        <x:v>以前</x:v>
      </x:c>
    </x:row>
    <x:row r="18" ht="20" customHeight="1">
      <x:c r="A18" s="37" t="str">
        <x:v>answer</x:v>
      </x:c>
      <x:c r="B18" s="21" t="str">
        <x:v>/ˈɑːnsə/</x:v>
      </x:c>
      <x:c r="C18" s="38" t="str">
        <x:v>回答</x:v>
      </x:c>
      <x:c r="D18" s="68"/>
      <x:c r="E18" s="37" t="str">
        <x:v>ask</x:v>
      </x:c>
      <x:c r="F18" s="21" t="str">
        <x:v>/ɑːsk/</x:v>
      </x:c>
      <x:c r="G18" s="38" t="str">
        <x:v>询问；问</x:v>
      </x:c>
      <x:c r="H18" s="68"/>
      <x:c r="I18" s="37" t="str">
        <x:v>anyway</x:v>
      </x:c>
      <x:c r="J18" s="21" t="str">
        <x:v>/ˈeniweɪ/</x:v>
      </x:c>
      <x:c r="K18" s="38" t="str">
        <x:v>尽管如此；无论如何</x:v>
      </x:c>
    </x:row>
    <x:row r="19" ht="20" customHeight="1">
      <x:c r="A19" s="39" t="str">
        <x:v>April</x:v>
      </x:c>
      <x:c r="B19" s="28" t="str">
        <x:v>/ˈeɪprəl/</x:v>
      </x:c>
      <x:c r="C19" s="40" t="str">
        <x:v>4月</x:v>
      </x:c>
      <x:c r="D19" s="68"/>
      <x:c r="E19" s="39" t="str">
        <x:v>avoid</x:v>
      </x:c>
      <x:c r="F19" s="28" t="str">
        <x:v>/əˈvɔɪd/</x:v>
      </x:c>
      <x:c r="G19" s="40" t="str">
        <x:v>避免；防止</x:v>
      </x:c>
      <x:c r="H19" s="68"/>
      <x:c r="I19" s="39" t="str">
        <x:v>anywhere</x:v>
      </x:c>
      <x:c r="J19" s="28" t="str">
        <x:v>/ˈeniweə/</x:v>
      </x:c>
      <x:c r="K19" s="40" t="str">
        <x:v>在任何地方；任何地方</x:v>
      </x:c>
    </x:row>
    <x:row r="20" ht="20" customHeight="1">
      <x:c r="A20" s="37" t="str">
        <x:v>Arabic</x:v>
      </x:c>
      <x:c r="B20" s="21" t="str">
        <x:v>/ˈærəbɪk/</x:v>
      </x:c>
      <x:c r="C20" s="38" t="str">
        <x:v>阿拉伯语</x:v>
      </x:c>
      <x:c r="D20" s="68"/>
      <x:c r="E20" s="37" t="str">
        <x:v>answer</x:v>
      </x:c>
      <x:c r="F20" s="21" t="str">
        <x:v>/ˈɑːnsə/</x:v>
      </x:c>
      <x:c r="G20" s="38" t="str">
        <x:v>应门；回答</x:v>
      </x:c>
      <x:c r="H20" s="68"/>
      <x:c r="I20" s="37" t="str">
        <x:v>around</x:v>
      </x:c>
      <x:c r="J20" s="21" t="str">
        <x:v>/əˈraʊnd/</x:v>
      </x:c>
      <x:c r="K20" s="38" t="str">
        <x:v>到处；向各处</x:v>
      </x:c>
    </x:row>
    <x:row r="21" ht="20" customHeight="1">
      <x:c r="A21" s="39" t="str">
        <x:v>area</x:v>
      </x:c>
      <x:c r="B21" s="28" t="str">
        <x:v>/ˈeəriə/</x:v>
      </x:c>
      <x:c r="C21" s="40" t="str">
        <x:v>地区；区域</x:v>
      </x:c>
      <x:c r="D21" s="68"/>
      <x:c r="E21" s="73" t="str">
        <x:v>形容词（11）</x:v>
      </x:c>
      <x:c r="F21" s="68"/>
      <x:c r="G21" s="74"/>
      <x:c r="H21" s="68"/>
      <x:c r="I21" s="39" t="str">
        <x:v>away</x:v>
      </x:c>
      <x:c r="J21" s="28" t="str">
        <x:v>/əˈweɪ/</x:v>
      </x:c>
      <x:c r="K21" s="40" t="str">
        <x:v>在安全的地方；在通常存放的地方</x:v>
      </x:c>
    </x:row>
    <x:row r="22" ht="20" customHeight="1">
      <x:c r="A22" s="37" t="str">
        <x:v>arm</x:v>
      </x:c>
      <x:c r="B22" s="21" t="str">
        <x:v>/ɑːm/</x:v>
      </x:c>
      <x:c r="C22" s="38" t="str">
        <x:v>臂；手臂</x:v>
      </x:c>
      <x:c r="D22" s="68"/>
      <x:c r="E22" s="37" t="str">
        <x:v>able</x:v>
      </x:c>
      <x:c r="F22" s="21" t="str">
        <x:v>/ˈeɪbl/</x:v>
      </x:c>
      <x:c r="G22" s="38" t="str">
        <x:v>能够……的</x:v>
      </x:c>
      <x:c r="H22" s="68"/>
      <x:c r="I22" s="37" t="str">
        <x:v>alone</x:v>
      </x:c>
      <x:c r="J22" s="21" t="str">
        <x:v>/əˈləʊn/</x:v>
      </x:c>
      <x:c r="K22" s="38" t="str">
        <x:v>独自地</x:v>
      </x:c>
    </x:row>
    <x:row r="23" ht="20" customHeight="1">
      <x:c r="A23" s="39" t="str">
        <x:v>art</x:v>
      </x:c>
      <x:c r="B23" s="28" t="str">
        <x:v>/ɑːt/</x:v>
      </x:c>
      <x:c r="C23" s="40" t="str">
        <x:v>美术；艺术</x:v>
      </x:c>
      <x:c r="D23" s="68"/>
      <x:c r="E23" s="39" t="str">
        <x:v>active</x:v>
      </x:c>
      <x:c r="F23" s="28" t="str">
        <x:v>/ˈæktɪv/</x:v>
      </x:c>
      <x:c r="G23" s="40" t="str">
        <x:v>积极的；活跃的</x:v>
      </x:c>
      <x:c r="H23" s="68"/>
      <x:c r="I23" s="39" t="str">
        <x:v>almost</x:v>
      </x:c>
      <x:c r="J23" s="28" t="str">
        <x:v>/ˈɔːlməʊst/</x:v>
      </x:c>
      <x:c r="K23" s="40" t="str">
        <x:v>几乎；差不多</x:v>
      </x:c>
    </x:row>
    <x:row r="24" ht="17" customHeight="1">
      <x:c r="A24" s="37" t="str">
        <x:v>article</x:v>
      </x:c>
      <x:c r="B24" s="21" t="str">
        <x:v>/ˈɑːtɪkl/</x:v>
      </x:c>
      <x:c r="C24" s="38" t="str">
        <x:v>文章；报道</x:v>
      </x:c>
      <x:c r="D24" s="68"/>
      <x:c r="E24" s="37" t="str">
        <x:v>afraid</x:v>
      </x:c>
      <x:c r="F24" s="21" t="str">
        <x:v>/əˈfreɪd/</x:v>
      </x:c>
      <x:c r="G24" s="38" t="str">
        <x:v>担心的；害怕的</x:v>
      </x:c>
      <x:c r="H24" s="68"/>
      <x:c r="I24" s="73" t="str">
        <x:v>介词（9）</x:v>
      </x:c>
      <x:c r="J24" s="68"/>
      <x:c r="K24" s="74"/>
    </x:row>
    <x:row r="25" ht="20" customHeight="1">
      <x:c r="A25" s="39" t="str">
        <x:v>artist</x:v>
      </x:c>
      <x:c r="B25" s="28" t="str">
        <x:v>/ˈɑːtɪst/</x:v>
      </x:c>
      <x:c r="C25" s="40" t="str">
        <x:v>艺术家；画家</x:v>
      </x:c>
      <x:c r="D25" s="68"/>
      <x:c r="E25" s="39" t="str">
        <x:v>African</x:v>
      </x:c>
      <x:c r="F25" s="28" t="str">
        <x:v>/ˈæfrɪkən/</x:v>
      </x:c>
      <x:c r="G25" s="40" t="str">
        <x:v>非洲的</x:v>
      </x:c>
      <x:c r="H25" s="68"/>
      <x:c r="I25" s="39" t="str">
        <x:v>about</x:v>
      </x:c>
      <x:c r="J25" s="28" t="str">
        <x:v>/əˈbaʊt/</x:v>
      </x:c>
      <x:c r="K25" s="40" t="str">
        <x:v>关于</x:v>
      </x:c>
    </x:row>
    <x:row r="26" ht="20" customHeight="1">
      <x:c r="A26" s="41" t="str">
        <x:v>Asia</x:v>
      </x:c>
      <x:c r="B26" s="42" t="str">
        <x:v>/ˈeɪʃə/</x:v>
      </x:c>
      <x:c r="C26" s="43" t="str">
        <x:v>亚洲</x:v>
      </x:c>
      <x:c r="D26" s="68"/>
      <x:c r="E26" s="41" t="str">
        <x:v>American</x:v>
      </x:c>
      <x:c r="F26" s="42" t="str">
        <x:v>/əˈmerɪkən/</x:v>
      </x:c>
      <x:c r="G26" s="43" t="str">
        <x:v>美国的；美洲的</x:v>
      </x:c>
      <x:c r="H26" s="68"/>
      <x:c r="I26" s="41" t="str">
        <x:v>above</x:v>
      </x:c>
      <x:c r="J26" s="42" t="str">
        <x:v>/əˈbʌv/</x:v>
      </x:c>
      <x:c r="K26" s="43" t="str">
        <x:v>在……上方；在……之上</x:v>
      </x:c>
    </x:row>
    <x:row r="27">
      <x:c r="A27" s="68"/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</x:row>
    <x:row r="28" ht="27" customHeight="1">
      <x:c r="A28" s="65" t="str">
        <x:v>A 开头单词（2/2）</x:v>
      </x:c>
      <x:c r="B28" s="66"/>
      <x:c r="C28" s="67"/>
      <x:c r="D28" s="68"/>
      <x:c r="E28" s="69"/>
      <x:c r="F28" s="66"/>
      <x:c r="G28" s="67"/>
      <x:c r="H28" s="68"/>
      <x:c r="I28" s="69"/>
      <x:c r="J28" s="66"/>
      <x:c r="K28" s="67"/>
    </x:row>
    <x:row r="29" ht="19" customHeight="1">
      <x:c r="A29" s="70" t="str">
        <x:v>英文单词 / 短语</x:v>
      </x:c>
      <x:c r="B29" s="71" t="str">
        <x:v>音标</x:v>
      </x:c>
      <x:c r="C29" s="72" t="str">
        <x:v>中文解释</x:v>
      </x:c>
      <x:c r="D29" s="68"/>
      <x:c r="E29" s="70" t="str">
        <x:v>英文单词 / 短语</x:v>
      </x:c>
      <x:c r="F29" s="71" t="str">
        <x:v>音标</x:v>
      </x:c>
      <x:c r="G29" s="72" t="str">
        <x:v>中文解释</x:v>
      </x:c>
      <x:c r="H29" s="68"/>
      <x:c r="I29" s="70" t="str">
        <x:v>英文单词 / 短语</x:v>
      </x:c>
      <x:c r="J29" s="71" t="str">
        <x:v>音标</x:v>
      </x:c>
      <x:c r="K29" s="72" t="str">
        <x:v>中文解释</x:v>
      </x:c>
    </x:row>
    <x:row r="30" ht="20" customHeight="1">
      <x:c r="A30" s="39" t="str">
        <x:v>across</x:v>
      </x:c>
      <x:c r="B30" s="28" t="str">
        <x:v>/əˈkrɒs/</x:v>
      </x:c>
      <x:c r="C30" s="40" t="str">
        <x:v>越过</x:v>
      </x:c>
      <x:c r="D30" s="68"/>
      <x:c r="E30" s="39" t="str">
        <x:v>at</x:v>
      </x:c>
      <x:c r="F30" s="28" t="str"/>
      <x:c r="G30" s="40" t="str">
        <x:v>first 起初；首先</x:v>
      </x:c>
      <x:c r="H30" s="68"/>
      <x:c r="I30" s="75"/>
      <x:c r="J30" s="68"/>
      <x:c r="K30" s="74"/>
    </x:row>
    <x:row r="31" ht="20" customHeight="1">
      <x:c r="A31" s="37" t="str">
        <x:v>after</x:v>
      </x:c>
      <x:c r="B31" s="21" t="str">
        <x:v>/ˈɑːftə(r)/</x:v>
      </x:c>
      <x:c r="C31" s="38" t="str">
        <x:v>在……后</x:v>
      </x:c>
      <x:c r="D31" s="68"/>
      <x:c r="E31" s="37" t="str">
        <x:v>at</x:v>
      </x:c>
      <x:c r="F31" s="21" t="str"/>
      <x:c r="G31" s="38" t="str">
        <x:v>last 终于；最后</x:v>
      </x:c>
      <x:c r="H31" s="68"/>
      <x:c r="I31" s="75"/>
      <x:c r="J31" s="68"/>
      <x:c r="K31" s="74"/>
    </x:row>
    <x:row r="32" ht="20" customHeight="1">
      <x:c r="A32" s="39" t="str">
        <x:v>against</x:v>
      </x:c>
      <x:c r="B32" s="28" t="str">
        <x:v>/əˈɡenst/</x:v>
      </x:c>
      <x:c r="C32" s="40" t="str">
        <x:v>(在比赛或战斗中) 对（某人或某事物）</x:v>
      </x:c>
      <x:c r="D32" s="68"/>
      <x:c r="E32" s="39" t="str">
        <x:v>at</x:v>
      </x:c>
      <x:c r="F32" s="28" t="str"/>
      <x:c r="G32" s="40" t="str">
        <x:v>school 在学校；上学</x:v>
      </x:c>
      <x:c r="H32" s="68"/>
      <x:c r="I32" s="75"/>
      <x:c r="J32" s="68"/>
      <x:c r="K32" s="74"/>
    </x:row>
    <x:row r="33" ht="20" customHeight="1">
      <x:c r="A33" s="37" t="str">
        <x:v>along</x:v>
      </x:c>
      <x:c r="B33" s="21" t="str">
        <x:v>/əˈlɒŋ/</x:v>
      </x:c>
      <x:c r="C33" s="38" t="str">
        <x:v>沿着</x:v>
      </x:c>
      <x:c r="D33" s="68"/>
      <x:c r="E33" s="37" t="str">
        <x:v>at</x:v>
      </x:c>
      <x:c r="F33" s="21" t="str"/>
      <x:c r="G33" s="38" t="str">
        <x:v>the age of 在……岁时</x:v>
      </x:c>
      <x:c r="H33" s="68"/>
      <x:c r="I33" s="75"/>
      <x:c r="J33" s="68"/>
      <x:c r="K33" s="74"/>
    </x:row>
    <x:row r="34" ht="20" customHeight="1">
      <x:c r="A34" s="39" t="str">
        <x:v>around</x:v>
      </x:c>
      <x:c r="B34" s="28" t="str">
        <x:v>/əˈraʊnd/</x:v>
      </x:c>
      <x:c r="C34" s="40" t="str">
        <x:v>环绕着；围绕</x:v>
      </x:c>
      <x:c r="D34" s="68"/>
      <x:c r="E34" s="39" t="str">
        <x:v>at</x:v>
      </x:c>
      <x:c r="F34" s="28" t="str"/>
      <x:c r="G34" s="40" t="str">
        <x:v>the end of 在……的结尾；在……的末端</x:v>
      </x:c>
      <x:c r="H34" s="68"/>
      <x:c r="I34" s="75"/>
      <x:c r="J34" s="68"/>
      <x:c r="K34" s="74"/>
    </x:row>
    <x:row r="35" ht="20" customHeight="1">
      <x:c r="A35" s="37" t="str">
        <x:v>as</x:v>
      </x:c>
      <x:c r="B35" s="21" t="str">
        <x:v>/æz; əz/</x:v>
      </x:c>
      <x:c r="C35" s="38" t="str">
        <x:v>当……时；作为</x:v>
      </x:c>
      <x:c r="D35" s="68"/>
      <x:c r="E35" s="37" t="str">
        <x:v>at</x:v>
      </x:c>
      <x:c r="F35" s="21" t="str"/>
      <x:c r="G35" s="38" t="str">
        <x:v>the same time 同时</x:v>
      </x:c>
      <x:c r="H35" s="68"/>
      <x:c r="I35" s="75"/>
      <x:c r="J35" s="68"/>
      <x:c r="K35" s="74"/>
    </x:row>
    <x:row r="36" ht="20" customHeight="1">
      <x:c r="A36" s="39" t="str">
        <x:v>at</x:v>
      </x:c>
      <x:c r="B36" s="28" t="str">
        <x:v>/æt; ət/</x:v>
      </x:c>
      <x:c r="C36" s="40" t="str">
        <x:v>在……；在……里；在……点钟</x:v>
      </x:c>
      <x:c r="D36" s="68"/>
      <x:c r="E36" s="39" t="str">
        <x:v>at</x:v>
      </x:c>
      <x:c r="F36" s="28" t="str"/>
      <x:c r="G36" s="40" t="str">
        <x:v>the top of 在……的顶端</x:v>
      </x:c>
      <x:c r="H36" s="68"/>
      <x:c r="I36" s="75"/>
      <x:c r="J36" s="68"/>
      <x:c r="K36" s="74"/>
    </x:row>
    <x:row r="37" ht="20" customHeight="1">
      <x:c r="A37" s="73" t="str">
        <x:v>连词（3）</x:v>
      </x:c>
      <x:c r="B37" s="68"/>
      <x:c r="C37" s="74"/>
      <x:c r="D37" s="68"/>
      <x:c r="E37" s="37" t="str">
        <x:v>ask</x:v>
      </x:c>
      <x:c r="F37" s="21" t="str"/>
      <x:c r="G37" s="38" t="str">
        <x:v>for 请求（给予）</x:v>
      </x:c>
      <x:c r="H37" s="68"/>
      <x:c r="I37" s="75"/>
      <x:c r="J37" s="68"/>
      <x:c r="K37" s="74"/>
    </x:row>
    <x:row r="38" ht="20" customHeight="1">
      <x:c r="A38" s="39" t="str">
        <x:v>and</x:v>
      </x:c>
      <x:c r="B38" s="28" t="str">
        <x:v>/ænd; ənd/</x:v>
      </x:c>
      <x:c r="C38" s="40" t="str">
        <x:v>和，与</x:v>
      </x:c>
      <x:c r="D38" s="68"/>
      <x:c r="E38" s="39" t="str">
        <x:v>agree</x:v>
      </x:c>
      <x:c r="F38" s="28" t="str"/>
      <x:c r="G38" s="40" t="str">
        <x:v>with sb. 同意某人</x:v>
      </x:c>
      <x:c r="H38" s="68"/>
      <x:c r="I38" s="75"/>
      <x:c r="J38" s="68"/>
      <x:c r="K38" s="74"/>
    </x:row>
    <x:row r="39" ht="20" customHeight="1">
      <x:c r="A39" s="37" t="str">
        <x:v>as</x:v>
      </x:c>
      <x:c r="B39" s="21" t="str">
        <x:v>/æz; əz/</x:v>
      </x:c>
      <x:c r="C39" s="38" t="str">
        <x:v>当……时；像……一样；并且，还</x:v>
      </x:c>
      <x:c r="D39" s="68"/>
      <x:c r="E39" s="37" t="str">
        <x:v>be</x:v>
      </x:c>
      <x:c r="F39" s="21" t="str"/>
      <x:c r="G39" s="38" t="str">
        <x:v>able to 能够做……</x:v>
      </x:c>
      <x:c r="H39" s="68"/>
      <x:c r="I39" s="75"/>
      <x:c r="J39" s="68"/>
      <x:c r="K39" s="74"/>
    </x:row>
    <x:row r="40" ht="20" customHeight="1">
      <x:c r="A40" s="39" t="str">
        <x:v>although</x:v>
      </x:c>
      <x:c r="B40" s="28" t="str">
        <x:v>/ɔːlˈðəʊ/</x:v>
      </x:c>
      <x:c r="C40" s="40" t="str">
        <x:v>然而；尽管</x:v>
      </x:c>
      <x:c r="D40" s="68"/>
      <x:c r="E40" s="39" t="str">
        <x:v>feel</x:v>
      </x:c>
      <x:c r="F40" s="28" t="str"/>
      <x:c r="G40" s="40" t="str">
        <x:v>awful 感到不舒服</x:v>
      </x:c>
      <x:c r="H40" s="68"/>
      <x:c r="I40" s="75"/>
      <x:c r="J40" s="68"/>
      <x:c r="K40" s="74"/>
    </x:row>
    <x:row r="41" ht="20" customHeight="1">
      <x:c r="A41" s="73" t="str">
        <x:v>代词（5）</x:v>
      </x:c>
      <x:c r="B41" s="68"/>
      <x:c r="C41" s="74"/>
      <x:c r="D41" s="68"/>
      <x:c r="E41" s="37" t="str">
        <x:v>first</x:v>
      </x:c>
      <x:c r="F41" s="21" t="str"/>
      <x:c r="G41" s="38" t="str">
        <x:v>aid 急救</x:v>
      </x:c>
      <x:c r="H41" s="68"/>
      <x:c r="I41" s="75"/>
      <x:c r="J41" s="68"/>
      <x:c r="K41" s="74"/>
    </x:row>
    <x:row r="42" ht="20" customHeight="1">
      <x:c r="A42" s="39" t="str">
        <x:v>all</x:v>
      </x:c>
      <x:c r="B42" s="28" t="str">
        <x:v>/ɔːl/</x:v>
      </x:c>
      <x:c r="C42" s="40" t="str">
        <x:v>每个，全体；所有的；全部的</x:v>
      </x:c>
      <x:c r="D42" s="68"/>
      <x:c r="E42" s="39" t="str">
        <x:v>good</x:v>
      </x:c>
      <x:c r="F42" s="28" t="str"/>
      <x:c r="G42" s="40" t="str">
        <x:v>afternoon 下午好</x:v>
      </x:c>
      <x:c r="H42" s="68"/>
      <x:c r="I42" s="75"/>
      <x:c r="J42" s="68"/>
      <x:c r="K42" s="74"/>
    </x:row>
    <x:row r="43" ht="20" customHeight="1">
      <x:c r="A43" s="37" t="str">
        <x:v>another</x:v>
      </x:c>
      <x:c r="B43" s="21" t="str">
        <x:v>/əˈnʌðə/</x:v>
      </x:c>
      <x:c r="C43" s="38" t="str">
        <x:v>又一个；再一个</x:v>
      </x:c>
      <x:c r="D43" s="68"/>
      <x:c r="E43" s="37" t="str">
        <x:v>pay</x:v>
      </x:c>
      <x:c r="F43" s="21" t="str"/>
      <x:c r="G43" s="38" t="str">
        <x:v>attention 注意；留心</x:v>
      </x:c>
      <x:c r="H43" s="68"/>
      <x:c r="I43" s="75"/>
      <x:c r="J43" s="68"/>
      <x:c r="K43" s="74"/>
    </x:row>
    <x:row r="44" ht="20" customHeight="1">
      <x:c r="A44" s="39" t="str">
        <x:v>anyone</x:v>
      </x:c>
      <x:c r="B44" s="28" t="str">
        <x:v>/ˈeniwʌn/</x:v>
      </x:c>
      <x:c r="C44" s="40" t="str">
        <x:v>任何人</x:v>
      </x:c>
      <x:c r="D44" s="68"/>
      <x:c r="E44" s="39" t="str">
        <x:v>that's</x:v>
      </x:c>
      <x:c r="F44" s="28" t="str"/>
      <x:c r="G44" s="40" t="str">
        <x:v>all 仅此而已</x:v>
      </x:c>
      <x:c r="H44" s="68"/>
      <x:c r="I44" s="75"/>
      <x:c r="J44" s="68"/>
      <x:c r="K44" s="74"/>
    </x:row>
    <x:row r="45" ht="20" customHeight="1">
      <x:c r="A45" s="37" t="str">
        <x:v>anything</x:v>
      </x:c>
      <x:c r="B45" s="21" t="str">
        <x:v>/ˈeniθɪŋ/</x:v>
      </x:c>
      <x:c r="C45" s="38" t="str">
        <x:v>任何东西；任何事情</x:v>
      </x:c>
      <x:c r="D45" s="68"/>
      <x:c r="E45" s="37" t="str">
        <x:v>What</x:v>
      </x:c>
      <x:c r="F45" s="21" t="str"/>
      <x:c r="G45" s="38" t="str">
        <x:v>about...? ……怎么样？</x:v>
      </x:c>
      <x:c r="H45" s="68"/>
      <x:c r="I45" s="75"/>
      <x:c r="J45" s="68"/>
      <x:c r="K45" s="74"/>
    </x:row>
    <x:row r="46" ht="20" customHeight="1">
      <x:c r="A46" s="39" t="str">
        <x:v>any</x:v>
      </x:c>
      <x:c r="B46" s="28" t="str">
        <x:v>/ˈeni/</x:v>
      </x:c>
      <x:c r="C46" s="40" t="str">
        <x:v>任何一个；一些（此处也作代词）</x:v>
      </x:c>
      <x:c r="D46" s="68"/>
      <x:c r="E46" s="75"/>
      <x:c r="F46" s="68"/>
      <x:c r="G46" s="74"/>
      <x:c r="H46" s="68"/>
      <x:c r="I46" s="75"/>
      <x:c r="J46" s="68"/>
      <x:c r="K46" s="74"/>
    </x:row>
    <x:row r="47" ht="17" customHeight="1">
      <x:c r="A47" s="73" t="str">
        <x:v>短语（22）</x:v>
      </x:c>
      <x:c r="B47" s="68"/>
      <x:c r="C47" s="74"/>
      <x:c r="D47" s="68"/>
      <x:c r="E47" s="75"/>
      <x:c r="F47" s="68"/>
      <x:c r="G47" s="74"/>
      <x:c r="H47" s="68"/>
      <x:c r="I47" s="75"/>
      <x:c r="J47" s="68"/>
      <x:c r="K47" s="74"/>
    </x:row>
    <x:row r="48" ht="20" customHeight="1">
      <x:c r="A48" s="39" t="str">
        <x:v>all</x:v>
      </x:c>
      <x:c r="B48" s="28" t="str"/>
      <x:c r="C48" s="40" t="str">
        <x:v>over 浑身，到处</x:v>
      </x:c>
      <x:c r="D48" s="68"/>
      <x:c r="E48" s="75"/>
      <x:c r="F48" s="68"/>
      <x:c r="G48" s="74"/>
      <x:c r="H48" s="68"/>
      <x:c r="I48" s="75"/>
      <x:c r="J48" s="68"/>
      <x:c r="K48" s="74"/>
    </x:row>
    <x:row r="49" ht="20" customHeight="1">
      <x:c r="A49" s="37" t="str">
        <x:v>all</x:v>
      </x:c>
      <x:c r="B49" s="21" t="str"/>
      <x:c r="C49" s="38" t="str">
        <x:v>alone 独自一人的</x:v>
      </x:c>
      <x:c r="D49" s="68"/>
      <x:c r="E49" s="75"/>
      <x:c r="F49" s="68"/>
      <x:c r="G49" s="74"/>
      <x:c r="H49" s="68"/>
      <x:c r="I49" s="75"/>
      <x:c r="J49" s="68"/>
      <x:c r="K49" s="74"/>
    </x:row>
    <x:row r="50" ht="20" customHeight="1">
      <x:c r="A50" s="39" t="str">
        <x:v>all</x:v>
      </x:c>
      <x:c r="B50" s="28" t="str"/>
      <x:c r="C50" s="40" t="str">
        <x:v>the time 一直；不断地</x:v>
      </x:c>
      <x:c r="D50" s="68"/>
      <x:c r="E50" s="75"/>
      <x:c r="F50" s="68"/>
      <x:c r="G50" s="74"/>
      <x:c r="H50" s="68"/>
      <x:c r="I50" s="75"/>
      <x:c r="J50" s="68"/>
      <x:c r="K50" s="74"/>
    </x:row>
    <x:row r="51" ht="20" customHeight="1">
      <x:c r="A51" s="37" t="str">
        <x:v>arm</x:v>
      </x:c>
      <x:c r="B51" s="21" t="str"/>
      <x:c r="C51" s="38" t="str">
        <x:v>in arm 臂挽臂地</x:v>
      </x:c>
      <x:c r="D51" s="68"/>
      <x:c r="E51" s="75"/>
      <x:c r="F51" s="68"/>
      <x:c r="G51" s="74"/>
      <x:c r="H51" s="68"/>
      <x:c r="I51" s="75"/>
      <x:c r="J51" s="68"/>
      <x:c r="K51" s="74"/>
    </x:row>
    <x:row r="52" ht="20" customHeight="1">
      <x:c r="A52" s="39" t="str">
        <x:v>around</x:v>
      </x:c>
      <x:c r="B52" s="28" t="str"/>
      <x:c r="C52" s="40" t="str">
        <x:v>the world 世界各地</x:v>
      </x:c>
      <x:c r="D52" s="68"/>
      <x:c r="E52" s="75"/>
      <x:c r="F52" s="68"/>
      <x:c r="G52" s="74"/>
      <x:c r="H52" s="68"/>
      <x:c r="I52" s="75"/>
      <x:c r="J52" s="68"/>
      <x:c r="K52" s="74"/>
    </x:row>
    <x:row r="53" ht="20" customHeight="1">
      <x:c r="A53" s="41" t="str">
        <x:v>as</x:v>
      </x:c>
      <x:c r="B53" s="42" t="str"/>
      <x:c r="C53" s="43" t="str">
        <x:v>well 和；又；也</x:v>
      </x:c>
      <x:c r="D53" s="68"/>
      <x:c r="E53" s="76"/>
      <x:c r="F53" s="77"/>
      <x:c r="G53" s="78"/>
      <x:c r="H53" s="68"/>
      <x:c r="I53" s="76"/>
      <x:c r="J53" s="77"/>
      <x:c r="K53" s="78"/>
    </x:row>
    <x:row r="54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</x:row>
    <x:row r="55" ht="27" customHeight="1">
      <x:c r="A55" s="65" t="str">
        <x:v>B 开头单词（1/2）</x:v>
      </x:c>
      <x:c r="B55" s="66"/>
      <x:c r="C55" s="67"/>
      <x:c r="D55" s="68"/>
      <x:c r="E55" s="69"/>
      <x:c r="F55" s="66"/>
      <x:c r="G55" s="67"/>
      <x:c r="H55" s="68"/>
      <x:c r="I55" s="69"/>
      <x:c r="J55" s="66"/>
      <x:c r="K55" s="67"/>
    </x:row>
    <x:row r="56" ht="19" customHeight="1">
      <x:c r="A56" s="70" t="str">
        <x:v>英文单词 / 短语</x:v>
      </x:c>
      <x:c r="B56" s="71" t="str">
        <x:v>音标</x:v>
      </x:c>
      <x:c r="C56" s="72" t="str">
        <x:v>中文解释</x:v>
      </x:c>
      <x:c r="D56" s="68"/>
      <x:c r="E56" s="70" t="str">
        <x:v>英文单词 / 短语</x:v>
      </x:c>
      <x:c r="F56" s="71" t="str">
        <x:v>音标</x:v>
      </x:c>
      <x:c r="G56" s="72" t="str">
        <x:v>中文解释</x:v>
      </x:c>
      <x:c r="H56" s="68"/>
      <x:c r="I56" s="70" t="str">
        <x:v>英文单词 / 短语</x:v>
      </x:c>
      <x:c r="J56" s="71" t="str">
        <x:v>音标</x:v>
      </x:c>
      <x:c r="K56" s="72" t="str">
        <x:v>中文解释</x:v>
      </x:c>
    </x:row>
    <x:row r="57" ht="20" customHeight="1">
      <x:c r="A57" s="73" t="str">
        <x:v>名词（38）</x:v>
      </x:c>
      <x:c r="B57" s="68"/>
      <x:c r="C57" s="74"/>
      <x:c r="D57" s="68"/>
      <x:c r="E57" s="39" t="str">
        <x:v>bottom</x:v>
      </x:c>
      <x:c r="F57" s="28" t="str">
        <x:v>/ˈbɒtəm/</x:v>
      </x:c>
      <x:c r="G57" s="40" t="str">
        <x:v>底部；下端</x:v>
      </x:c>
      <x:c r="H57" s="68"/>
      <x:c r="I57" s="39" t="str">
        <x:v>build</x:v>
      </x:c>
      <x:c r="J57" s="28" t="str">
        <x:v>/bɪld/</x:v>
      </x:c>
      <x:c r="K57" s="40" t="str">
        <x:v>(built, built) 建造</x:v>
      </x:c>
    </x:row>
    <x:row r="58" ht="20" customHeight="1">
      <x:c r="A58" s="37" t="str">
        <x:v>background</x:v>
      </x:c>
      <x:c r="B58" s="21" t="str">
        <x:v>/ˈbækɡraʊnd/</x:v>
      </x:c>
      <x:c r="C58" s="38" t="str">
        <x:v>背景</x:v>
      </x:c>
      <x:c r="D58" s="68"/>
      <x:c r="E58" s="37" t="str">
        <x:v>box</x:v>
      </x:c>
      <x:c r="F58" s="21" t="str">
        <x:v>/bɒks/</x:v>
      </x:c>
      <x:c r="G58" s="38" t="str">
        <x:v>（计算机屏幕上的）框；盒子</x:v>
      </x:c>
      <x:c r="H58" s="68"/>
      <x:c r="I58" s="37" t="str">
        <x:v>buy</x:v>
      </x:c>
      <x:c r="J58" s="21" t="str">
        <x:v>/baɪ/</x:v>
      </x:c>
      <x:c r="K58" s="38" t="str">
        <x:v>买</x:v>
      </x:c>
    </x:row>
    <x:row r="59" ht="17" customHeight="1">
      <x:c r="A59" s="39" t="str">
        <x:v>ball</x:v>
      </x:c>
      <x:c r="B59" s="28" t="str">
        <x:v>/bɔːl/</x:v>
      </x:c>
      <x:c r="C59" s="40" t="str">
        <x:v>球；球类游戏</x:v>
      </x:c>
      <x:c r="D59" s="68"/>
      <x:c r="E59" s="39" t="str">
        <x:v>boy</x:v>
      </x:c>
      <x:c r="F59" s="28" t="str">
        <x:v>/bɔɪ/</x:v>
      </x:c>
      <x:c r="G59" s="40" t="str">
        <x:v>男孩</x:v>
      </x:c>
      <x:c r="H59" s="68"/>
      <x:c r="I59" s="73" t="str">
        <x:v>形容词（18）</x:v>
      </x:c>
      <x:c r="J59" s="68"/>
      <x:c r="K59" s="74"/>
    </x:row>
    <x:row r="60" ht="20" customHeight="1">
      <x:c r="A60" s="37" t="str">
        <x:v>banana</x:v>
      </x:c>
      <x:c r="B60" s="21" t="str">
        <x:v>/bəˈnɑːnə/</x:v>
      </x:c>
      <x:c r="C60" s="38" t="str">
        <x:v>香蕉</x:v>
      </x:c>
      <x:c r="D60" s="68"/>
      <x:c r="E60" s="37" t="str">
        <x:v>bread</x:v>
      </x:c>
      <x:c r="F60" s="21" t="str">
        <x:v>/bred/</x:v>
      </x:c>
      <x:c r="G60" s="38" t="str">
        <x:v>面包</x:v>
      </x:c>
      <x:c r="H60" s="68"/>
      <x:c r="I60" s="37" t="str">
        <x:v>bad</x:v>
      </x:c>
      <x:c r="J60" s="21" t="str">
        <x:v>/bæd/</x:v>
      </x:c>
      <x:c r="K60" s="38" t="str">
        <x:v>坏的；不好的</x:v>
      </x:c>
    </x:row>
    <x:row r="61" ht="20" customHeight="1">
      <x:c r="A61" s="39" t="str">
        <x:v>bank</x:v>
      </x:c>
      <x:c r="B61" s="28" t="str">
        <x:v>/bæŋk/</x:v>
      </x:c>
      <x:c r="C61" s="40" t="str">
        <x:v>银行</x:v>
      </x:c>
      <x:c r="D61" s="68"/>
      <x:c r="E61" s="39" t="str">
        <x:v>break</x:v>
      </x:c>
      <x:c r="F61" s="28" t="str">
        <x:v>/breɪk/</x:v>
      </x:c>
      <x:c r="G61" s="40" t="str">
        <x:v>（课间）休息</x:v>
      </x:c>
      <x:c r="H61" s="68"/>
      <x:c r="I61" s="39" t="str">
        <x:v>basic</x:v>
      </x:c>
      <x:c r="J61" s="28" t="str">
        <x:v>/ˈbeɪsɪk/</x:v>
      </x:c>
      <x:c r="K61" s="40" t="str">
        <x:v>主要的；基础的</x:v>
      </x:c>
    </x:row>
    <x:row r="62" ht="20" customHeight="1">
      <x:c r="A62" s="37" t="str">
        <x:v>baseball</x:v>
      </x:c>
      <x:c r="B62" s="21" t="str">
        <x:v>/ˈbeɪsbɔːl/</x:v>
      </x:c>
      <x:c r="C62" s="38" t="str">
        <x:v>棒球</x:v>
      </x:c>
      <x:c r="D62" s="68"/>
      <x:c r="E62" s="37" t="str">
        <x:v>breakfast</x:v>
      </x:c>
      <x:c r="F62" s="21" t="str">
        <x:v>/ˈbrekfəst/</x:v>
      </x:c>
      <x:c r="G62" s="38" t="str">
        <x:v>早饭</x:v>
      </x:c>
      <x:c r="H62" s="68"/>
      <x:c r="I62" s="37" t="str">
        <x:v>beautiful</x:v>
      </x:c>
      <x:c r="J62" s="21" t="str">
        <x:v>/ˈbjuːtɪfl/</x:v>
      </x:c>
      <x:c r="K62" s="38" t="str">
        <x:v>美的；美丽的；漂亮的</x:v>
      </x:c>
    </x:row>
    <x:row r="63" ht="20" customHeight="1">
      <x:c r="A63" s="39" t="str">
        <x:v>basket</x:v>
      </x:c>
      <x:c r="B63" s="28" t="str">
        <x:v>/ˈbɑːskɪt/</x:v>
      </x:c>
      <x:c r="C63" s="40" t="str">
        <x:v>篮子</x:v>
      </x:c>
      <x:c r="D63" s="68"/>
      <x:c r="E63" s="39" t="str">
        <x:v>bridge</x:v>
      </x:c>
      <x:c r="F63" s="28" t="str">
        <x:v>/brɪdʒ/</x:v>
      </x:c>
      <x:c r="G63" s="40" t="str">
        <x:v>桥</x:v>
      </x:c>
      <x:c r="H63" s="68"/>
      <x:c r="I63" s="39" t="str">
        <x:v>best</x:v>
      </x:c>
      <x:c r="J63" s="28" t="str">
        <x:v>/best/</x:v>
      </x:c>
      <x:c r="K63" s="40" t="str">
        <x:v>最好的</x:v>
      </x:c>
    </x:row>
    <x:row r="64" ht="20" customHeight="1">
      <x:c r="A64" s="37" t="str">
        <x:v>basketball</x:v>
      </x:c>
      <x:c r="B64" s="21" t="str">
        <x:v>/ˈbɑːskɪtbɔːl/</x:v>
      </x:c>
      <x:c r="C64" s="38" t="str">
        <x:v>篮球</x:v>
      </x:c>
      <x:c r="D64" s="68"/>
      <x:c r="E64" s="37" t="str">
        <x:v>Britain</x:v>
      </x:c>
      <x:c r="F64" s="21" t="str">
        <x:v>/ˈbrɪtn/</x:v>
      </x:c>
      <x:c r="G64" s="38" t="str">
        <x:v>不列颠；英国</x:v>
      </x:c>
      <x:c r="H64" s="68"/>
      <x:c r="I64" s="37" t="str">
        <x:v>big</x:v>
      </x:c>
      <x:c r="J64" s="21" t="str">
        <x:v>/bɪɡ/</x:v>
      </x:c>
      <x:c r="K64" s="38" t="str">
        <x:v>大的</x:v>
      </x:c>
    </x:row>
    <x:row r="65" ht="20" customHeight="1">
      <x:c r="A65" s="39" t="str">
        <x:v>bathroom</x:v>
      </x:c>
      <x:c r="B65" s="28" t="str">
        <x:v>/ˈbɑːθruːm/</x:v>
      </x:c>
      <x:c r="C65" s="40" t="str">
        <x:v>浴室</x:v>
      </x:c>
      <x:c r="D65" s="68"/>
      <x:c r="E65" s="39" t="str">
        <x:v>brother</x:v>
      </x:c>
      <x:c r="F65" s="28" t="str">
        <x:v>/ˈbrʌðə/</x:v>
      </x:c>
      <x:c r="G65" s="40" t="str">
        <x:v>兄弟</x:v>
      </x:c>
      <x:c r="H65" s="68"/>
      <x:c r="I65" s="39" t="str">
        <x:v>black</x:v>
      </x:c>
      <x:c r="J65" s="28" t="str">
        <x:v>/blæk/</x:v>
      </x:c>
      <x:c r="K65" s="40" t="str">
        <x:v>黑色的</x:v>
      </x:c>
    </x:row>
    <x:row r="66" ht="20" customHeight="1">
      <x:c r="A66" s="37" t="str">
        <x:v>beach</x:v>
      </x:c>
      <x:c r="B66" s="21" t="str">
        <x:v>/biːtʃ/</x:v>
      </x:c>
      <x:c r="C66" s="38" t="str">
        <x:v>海滨；海滩</x:v>
      </x:c>
      <x:c r="D66" s="68"/>
      <x:c r="E66" s="37" t="str">
        <x:v>building</x:v>
      </x:c>
      <x:c r="F66" s="21" t="str">
        <x:v>/ˈbɪldɪŋ/</x:v>
      </x:c>
      <x:c r="G66" s="38" t="str">
        <x:v>建筑物</x:v>
      </x:c>
      <x:c r="H66" s="68"/>
      <x:c r="I66" s="37" t="str">
        <x:v>blue</x:v>
      </x:c>
      <x:c r="J66" s="21" t="str">
        <x:v>/bluː/</x:v>
      </x:c>
      <x:c r="K66" s="38" t="str">
        <x:v>蓝色的</x:v>
      </x:c>
    </x:row>
    <x:row r="67" ht="20" customHeight="1">
      <x:c r="A67" s="39" t="str">
        <x:v>bean</x:v>
      </x:c>
      <x:c r="B67" s="28" t="str">
        <x:v>/biːn/</x:v>
      </x:c>
      <x:c r="C67" s="40" t="str">
        <x:v>豆</x:v>
      </x:c>
      <x:c r="D67" s="68"/>
      <x:c r="E67" s="39" t="str">
        <x:v>bus</x:v>
      </x:c>
      <x:c r="F67" s="28" t="str">
        <x:v>/bʌs/</x:v>
      </x:c>
      <x:c r="G67" s="40" t="str">
        <x:v>公共汽车</x:v>
      </x:c>
      <x:c r="H67" s="68"/>
      <x:c r="I67" s="39" t="str">
        <x:v>bored</x:v>
      </x:c>
      <x:c r="J67" s="28" t="str">
        <x:v>/bɔːd/</x:v>
      </x:c>
      <x:c r="K67" s="40" t="str">
        <x:v>厌烦的；厌倦的</x:v>
      </x:c>
    </x:row>
    <x:row r="68" ht="20" customHeight="1">
      <x:c r="A68" s="37" t="str">
        <x:v>bear</x:v>
      </x:c>
      <x:c r="B68" s="21" t="str">
        <x:v>/beə/</x:v>
      </x:c>
      <x:c r="C68" s="38" t="str">
        <x:v>熊</x:v>
      </x:c>
      <x:c r="D68" s="68"/>
      <x:c r="E68" s="37" t="str">
        <x:v>billion</x:v>
      </x:c>
      <x:c r="F68" s="21" t="str">
        <x:v>/ˈbɪljən/</x:v>
      </x:c>
      <x:c r="G68" s="38" t="str">
        <x:v>十亿（数词，此处兼作名词）</x:v>
      </x:c>
      <x:c r="H68" s="68"/>
      <x:c r="I68" s="37" t="str">
        <x:v>boring</x:v>
      </x:c>
      <x:c r="J68" s="21" t="str">
        <x:v>/ˈbɔːrɪŋ/</x:v>
      </x:c>
      <x:c r="K68" s="38" t="str">
        <x:v>烦人的；无聊的</x:v>
      </x:c>
    </x:row>
    <x:row r="69" ht="20" customHeight="1">
      <x:c r="A69" s="39" t="str">
        <x:v>bed</x:v>
      </x:c>
      <x:c r="B69" s="28" t="str">
        <x:v>/bed/</x:v>
      </x:c>
      <x:c r="C69" s="40" t="str">
        <x:v>床</x:v>
      </x:c>
      <x:c r="D69" s="68"/>
      <x:c r="E69" s="39" t="str">
        <x:v>birth</x:v>
      </x:c>
      <x:c r="F69" s="28" t="str">
        <x:v>/bɜːθ/</x:v>
      </x:c>
      <x:c r="G69" s="40" t="str">
        <x:v>出生</x:v>
      </x:c>
      <x:c r="H69" s="68"/>
      <x:c r="I69" s="39" t="str">
        <x:v>born</x:v>
      </x:c>
      <x:c r="J69" s="28" t="str">
        <x:v>/bɔːn/</x:v>
      </x:c>
      <x:c r="K69" s="40" t="str">
        <x:v>出生的（动词bear的过去分词）</x:v>
      </x:c>
    </x:row>
    <x:row r="70" ht="20" customHeight="1">
      <x:c r="A70" s="37" t="str">
        <x:v>beef</x:v>
      </x:c>
      <x:c r="B70" s="21" t="str">
        <x:v>/biːf/</x:v>
      </x:c>
      <x:c r="C70" s="38" t="str">
        <x:v>牛肉</x:v>
      </x:c>
      <x:c r="D70" s="68"/>
      <x:c r="E70" s="37" t="str">
        <x:v>bowl</x:v>
      </x:c>
      <x:c r="F70" s="21" t="str">
        <x:v>/bəʊl/</x:v>
      </x:c>
      <x:c r="G70" s="38" t="str">
        <x:v>碗</x:v>
      </x:c>
      <x:c r="H70" s="68"/>
      <x:c r="I70" s="37" t="str">
        <x:v>brave</x:v>
      </x:c>
      <x:c r="J70" s="21" t="str">
        <x:v>/breɪv/</x:v>
      </x:c>
      <x:c r="K70" s="38" t="str">
        <x:v>勇敢的；无畏的</x:v>
      </x:c>
    </x:row>
    <x:row r="71" ht="20" customHeight="1">
      <x:c r="A71" s="39" t="str">
        <x:v>bedroom</x:v>
      </x:c>
      <x:c r="B71" s="28" t="str">
        <x:v>/ˈbedruːm/</x:v>
      </x:c>
      <x:c r="C71" s="40" t="str">
        <x:v>卧室</x:v>
      </x:c>
      <x:c r="D71" s="68"/>
      <x:c r="E71" s="39" t="str">
        <x:v>brown</x:v>
      </x:c>
      <x:c r="F71" s="28" t="str">
        <x:v>/braʊn/</x:v>
      </x:c>
      <x:c r="G71" s="40" t="str">
        <x:v>棕色（兼作形容词）</x:v>
      </x:c>
      <x:c r="H71" s="68"/>
      <x:c r="I71" s="39" t="str">
        <x:v>bright</x:v>
      </x:c>
      <x:c r="J71" s="28" t="str">
        <x:v>/braɪt/</x:v>
      </x:c>
      <x:c r="K71" s="40" t="str">
        <x:v>欢快的；明亮的</x:v>
      </x:c>
    </x:row>
    <x:row r="72" ht="20" customHeight="1">
      <x:c r="A72" s="37" t="str">
        <x:v>bike (= bicycle)</x:v>
      </x:c>
      <x:c r="B72" s="21" t="str">
        <x:v>/baɪk/</x:v>
      </x:c>
      <x:c r="C72" s="38" t="str">
        <x:v>自行车</x:v>
      </x:c>
      <x:c r="D72" s="68"/>
      <x:c r="E72" s="73" t="str">
        <x:v>动词（10）</x:v>
      </x:c>
      <x:c r="F72" s="68"/>
      <x:c r="G72" s="74"/>
      <x:c r="H72" s="68"/>
      <x:c r="I72" s="37" t="str">
        <x:v>British</x:v>
      </x:c>
      <x:c r="J72" s="21" t="str">
        <x:v>/ˈbrɪtɪʃ/</x:v>
      </x:c>
      <x:c r="K72" s="38" t="str">
        <x:v>英国的；英国人的</x:v>
      </x:c>
    </x:row>
    <x:row r="73" ht="20" customHeight="1">
      <x:c r="A73" s="39" t="str">
        <x:v>bird</x:v>
      </x:c>
      <x:c r="B73" s="28" t="str">
        <x:v>/bɜːd/</x:v>
      </x:c>
      <x:c r="C73" s="40" t="str">
        <x:v>鸟</x:v>
      </x:c>
      <x:c r="D73" s="68"/>
      <x:c r="E73" s="39" t="str">
        <x:v>beat</x:v>
      </x:c>
      <x:c r="F73" s="28" t="str">
        <x:v>/biːt/</x:v>
      </x:c>
      <x:c r="G73" s="40" t="str">
        <x:v>(beat, beaten) 打败；战胜</x:v>
      </x:c>
      <x:c r="H73" s="68"/>
      <x:c r="I73" s="39" t="str">
        <x:v>broken</x:v>
      </x:c>
      <x:c r="J73" s="28" t="str">
        <x:v>/ˈbrəʊkən/</x:v>
      </x:c>
      <x:c r="K73" s="40" t="str">
        <x:v>破碎的</x:v>
      </x:c>
    </x:row>
    <x:row r="74" ht="20" customHeight="1">
      <x:c r="A74" s="37" t="str">
        <x:v>biscuit</x:v>
      </x:c>
      <x:c r="B74" s="21" t="str">
        <x:v>/ˈbɪskɪt/</x:v>
      </x:c>
      <x:c r="C74" s="38" t="str">
        <x:v>饼干</x:v>
      </x:c>
      <x:c r="D74" s="68"/>
      <x:c r="E74" s="37" t="str">
        <x:v>become</x:v>
      </x:c>
      <x:c r="F74" s="21" t="str">
        <x:v>/bɪˈkʌm/</x:v>
      </x:c>
      <x:c r="G74" s="38" t="str">
        <x:v>(became, become) 成为</x:v>
      </x:c>
      <x:c r="H74" s="68"/>
      <x:c r="I74" s="37" t="str">
        <x:v>brown</x:v>
      </x:c>
      <x:c r="J74" s="21" t="str">
        <x:v>/braʊn/</x:v>
      </x:c>
      <x:c r="K74" s="38" t="str">
        <x:v>棕色的</x:v>
      </x:c>
    </x:row>
    <x:row r="75" ht="20" customHeight="1">
      <x:c r="A75" s="39" t="str">
        <x:v>birthday</x:v>
      </x:c>
      <x:c r="B75" s="28" t="str">
        <x:v>/ˈbɜːθdeɪ/</x:v>
      </x:c>
      <x:c r="C75" s="40" t="str">
        <x:v>生日</x:v>
      </x:c>
      <x:c r="D75" s="68"/>
      <x:c r="E75" s="39" t="str">
        <x:v>begin</x:v>
      </x:c>
      <x:c r="F75" s="28" t="str">
        <x:v>/bɪˈɡɪn/</x:v>
      </x:c>
      <x:c r="G75" s="40" t="str">
        <x:v>开始</x:v>
      </x:c>
      <x:c r="H75" s="68"/>
      <x:c r="I75" s="39" t="str">
        <x:v>busy</x:v>
      </x:c>
      <x:c r="J75" s="28" t="str">
        <x:v>/ˈbɪzi/</x:v>
      </x:c>
      <x:c r="K75" s="40" t="str">
        <x:v>忙的；繁忙的</x:v>
      </x:c>
    </x:row>
    <x:row r="76" ht="20" customHeight="1">
      <x:c r="A76" s="37" t="str">
        <x:v>bit</x:v>
      </x:c>
      <x:c r="B76" s="21" t="str">
        <x:v>/bɪt/</x:v>
      </x:c>
      <x:c r="C76" s="38" t="str">
        <x:v>一点儿；少许</x:v>
      </x:c>
      <x:c r="D76" s="68"/>
      <x:c r="E76" s="37" t="str">
        <x:v>believe</x:v>
      </x:c>
      <x:c r="F76" s="21" t="str">
        <x:v>/bɪˈliːv/</x:v>
      </x:c>
      <x:c r="G76" s="38" t="str">
        <x:v>相信</x:v>
      </x:c>
      <x:c r="H76" s="68"/>
      <x:c r="I76" s="37" t="str">
        <x:v>better</x:v>
      </x:c>
      <x:c r="J76" s="21" t="str">
        <x:v>/ˈbetə/</x:v>
      </x:c>
      <x:c r="K76" s="38" t="str">
        <x:v>更好的（兼作副词）</x:v>
      </x:c>
    </x:row>
    <x:row r="77" ht="20" customHeight="1">
      <x:c r="A77" s="39" t="str">
        <x:v>blackboard</x:v>
      </x:c>
      <x:c r="B77" s="28" t="str">
        <x:v>/ˈblækbɔːd/</x:v>
      </x:c>
      <x:c r="C77" s="40" t="str">
        <x:v>黑板</x:v>
      </x:c>
      <x:c r="D77" s="68"/>
      <x:c r="E77" s="39" t="str">
        <x:v>bite</x:v>
      </x:c>
      <x:c r="F77" s="28" t="str">
        <x:v>/baɪt/</x:v>
      </x:c>
      <x:c r="G77" s="40" t="str">
        <x:v>(bit, bitten) 咬；叮</x:v>
      </x:c>
      <x:c r="H77" s="68"/>
      <x:c r="I77" s="39" t="str">
        <x:v>black-and-white</x:v>
      </x:c>
      <x:c r="J77" s="28" t="str">
        <x:v>/ˌblæk ənd ˈwaɪt/</x:v>
      </x:c>
      <x:c r="K77" s="40" t="str">
        <x:v>黑白的</x:v>
      </x:c>
    </x:row>
    <x:row r="78" ht="17" customHeight="1">
      <x:c r="A78" s="37" t="str">
        <x:v>body</x:v>
      </x:c>
      <x:c r="B78" s="21" t="str">
        <x:v>/ˈbɒdi/</x:v>
      </x:c>
      <x:c r="C78" s="38" t="str">
        <x:v>身体；躯干</x:v>
      </x:c>
      <x:c r="D78" s="68"/>
      <x:c r="E78" s="37" t="str">
        <x:v>book</x:v>
      </x:c>
      <x:c r="F78" s="21" t="str">
        <x:v>/bʊk/</x:v>
      </x:c>
      <x:c r="G78" s="38" t="str">
        <x:v>预订</x:v>
      </x:c>
      <x:c r="H78" s="68"/>
      <x:c r="I78" s="73" t="str">
        <x:v>副词（2）</x:v>
      </x:c>
      <x:c r="J78" s="68"/>
      <x:c r="K78" s="74"/>
    </x:row>
    <x:row r="79" ht="20" customHeight="1">
      <x:c r="A79" s="39" t="str">
        <x:v>book</x:v>
      </x:c>
      <x:c r="B79" s="28" t="str">
        <x:v>/bʊk/</x:v>
      </x:c>
      <x:c r="C79" s="40" t="str">
        <x:v>书</x:v>
      </x:c>
      <x:c r="D79" s="68"/>
      <x:c r="E79" s="39" t="str">
        <x:v>bow</x:v>
      </x:c>
      <x:c r="F79" s="28" t="str">
        <x:v>/baʊ/</x:v>
      </x:c>
      <x:c r="G79" s="40" t="str">
        <x:v>鞠躬；弯腰</x:v>
      </x:c>
      <x:c r="H79" s="68"/>
      <x:c r="I79" s="39" t="str">
        <x:v>back</x:v>
      </x:c>
      <x:c r="J79" s="28" t="str">
        <x:v>/bæk/</x:v>
      </x:c>
      <x:c r="K79" s="40" t="str">
        <x:v>向后；回到；返回</x:v>
      </x:c>
    </x:row>
    <x:row r="80" ht="20" customHeight="1">
      <x:c r="A80" s="41" t="str">
        <x:v>bookshop</x:v>
      </x:c>
      <x:c r="B80" s="42" t="str">
        <x:v>/ˈbʊkʃɒp/</x:v>
      </x:c>
      <x:c r="C80" s="43" t="str">
        <x:v>书店</x:v>
      </x:c>
      <x:c r="D80" s="68"/>
      <x:c r="E80" s="41" t="str">
        <x:v>bring</x:v>
      </x:c>
      <x:c r="F80" s="42" t="str">
        <x:v>/brɪŋ/</x:v>
      </x:c>
      <x:c r="G80" s="43" t="str">
        <x:v>(brought, brought) 带来</x:v>
      </x:c>
      <x:c r="H80" s="68"/>
      <x:c r="I80" s="41" t="str">
        <x:v>better</x:v>
      </x:c>
      <x:c r="J80" s="42" t="str">
        <x:v>/ˈbetə/</x:v>
      </x:c>
      <x:c r="K80" s="43" t="str">
        <x:v>更好地（兼作形容词）</x:v>
      </x:c>
    </x:row>
    <x:row r="81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</x:row>
    <x:row r="82" ht="27" customHeight="1">
      <x:c r="A82" s="65" t="str">
        <x:v>B 开头单词（2/2）</x:v>
      </x:c>
      <x:c r="B82" s="66"/>
      <x:c r="C82" s="67"/>
      <x:c r="D82" s="68"/>
      <x:c r="E82" s="69"/>
      <x:c r="F82" s="66"/>
      <x:c r="G82" s="67"/>
      <x:c r="H82" s="68"/>
      <x:c r="I82" s="69"/>
      <x:c r="J82" s="66"/>
      <x:c r="K82" s="67"/>
    </x:row>
    <x:row r="83" ht="19" customHeight="1">
      <x:c r="A83" s="70" t="str">
        <x:v>英文单词 / 短语</x:v>
      </x:c>
      <x:c r="B83" s="71" t="str">
        <x:v>音标</x:v>
      </x:c>
      <x:c r="C83" s="72" t="str">
        <x:v>中文解释</x:v>
      </x:c>
      <x:c r="D83" s="68"/>
      <x:c r="E83" s="70" t="str">
        <x:v>英文单词 / 短语</x:v>
      </x:c>
      <x:c r="F83" s="71" t="str">
        <x:v>音标</x:v>
      </x:c>
      <x:c r="G83" s="72" t="str">
        <x:v>中文解释</x:v>
      </x:c>
      <x:c r="H83" s="68"/>
      <x:c r="I83" s="70" t="str">
        <x:v>英文单词 / 短语</x:v>
      </x:c>
      <x:c r="J83" s="71" t="str">
        <x:v>音标</x:v>
      </x:c>
      <x:c r="K83" s="72" t="str">
        <x:v>中文解释</x:v>
      </x:c>
    </x:row>
    <x:row r="84" ht="17" customHeight="1">
      <x:c r="A84" s="73" t="str">
        <x:v>介词（4）</x:v>
      </x:c>
      <x:c r="B84" s="68"/>
      <x:c r="C84" s="74"/>
      <x:c r="D84" s="68"/>
      <x:c r="E84" s="75"/>
      <x:c r="F84" s="68"/>
      <x:c r="G84" s="74"/>
      <x:c r="H84" s="68"/>
      <x:c r="I84" s="75"/>
      <x:c r="J84" s="68"/>
      <x:c r="K84" s="74"/>
    </x:row>
    <x:row r="85" ht="20" customHeight="1">
      <x:c r="A85" s="37" t="str">
        <x:v>before</x:v>
      </x:c>
      <x:c r="B85" s="21" t="str">
        <x:v>/bɪˈfɔː/</x:v>
      </x:c>
      <x:c r="C85" s="38" t="str">
        <x:v>在……之前</x:v>
      </x:c>
      <x:c r="D85" s="68"/>
      <x:c r="E85" s="75"/>
      <x:c r="F85" s="68"/>
      <x:c r="G85" s="74"/>
      <x:c r="H85" s="68"/>
      <x:c r="I85" s="75"/>
      <x:c r="J85" s="68"/>
      <x:c r="K85" s="74"/>
    </x:row>
    <x:row r="86" ht="20" customHeight="1">
      <x:c r="A86" s="39" t="str">
        <x:v>behind</x:v>
      </x:c>
      <x:c r="B86" s="28" t="str">
        <x:v>/bɪˈhaɪnd/</x:v>
      </x:c>
      <x:c r="C86" s="40" t="str">
        <x:v>在……后面</x:v>
      </x:c>
      <x:c r="D86" s="68"/>
      <x:c r="E86" s="75"/>
      <x:c r="F86" s="68"/>
      <x:c r="G86" s="74"/>
      <x:c r="H86" s="68"/>
      <x:c r="I86" s="75"/>
      <x:c r="J86" s="68"/>
      <x:c r="K86" s="74"/>
    </x:row>
    <x:row r="87" ht="20" customHeight="1">
      <x:c r="A87" s="37" t="str">
        <x:v>between</x:v>
      </x:c>
      <x:c r="B87" s="21" t="str">
        <x:v>/bɪˈtwiːn/</x:v>
      </x:c>
      <x:c r="C87" s="38" t="str">
        <x:v>在……之间</x:v>
      </x:c>
      <x:c r="D87" s="68"/>
      <x:c r="E87" s="75"/>
      <x:c r="F87" s="68"/>
      <x:c r="G87" s="74"/>
      <x:c r="H87" s="68"/>
      <x:c r="I87" s="75"/>
      <x:c r="J87" s="68"/>
      <x:c r="K87" s="74"/>
    </x:row>
    <x:row r="88" ht="20" customHeight="1">
      <x:c r="A88" s="39" t="str">
        <x:v>by</x:v>
      </x:c>
      <x:c r="B88" s="28" t="str">
        <x:v>/baɪ/</x:v>
      </x:c>
      <x:c r="C88" s="40" t="str">
        <x:v>用；靠；乘（交通工具）；由……创作；被；由</x:v>
      </x:c>
      <x:c r="D88" s="68"/>
      <x:c r="E88" s="75"/>
      <x:c r="F88" s="68"/>
      <x:c r="G88" s="74"/>
      <x:c r="H88" s="68"/>
      <x:c r="I88" s="75"/>
      <x:c r="J88" s="68"/>
      <x:c r="K88" s="74"/>
    </x:row>
    <x:row r="89" ht="17" customHeight="1">
      <x:c r="A89" s="73" t="str">
        <x:v>连词（3）</x:v>
      </x:c>
      <x:c r="B89" s="68"/>
      <x:c r="C89" s="74"/>
      <x:c r="D89" s="68"/>
      <x:c r="E89" s="75"/>
      <x:c r="F89" s="68"/>
      <x:c r="G89" s="74"/>
      <x:c r="H89" s="68"/>
      <x:c r="I89" s="75"/>
      <x:c r="J89" s="68"/>
      <x:c r="K89" s="74"/>
    </x:row>
    <x:row r="90" ht="20" customHeight="1">
      <x:c r="A90" s="39" t="str">
        <x:v>because</x:v>
      </x:c>
      <x:c r="B90" s="28" t="str">
        <x:v>/bɪˈkɒz/</x:v>
      </x:c>
      <x:c r="C90" s="40" t="str">
        <x:v>因为</x:v>
      </x:c>
      <x:c r="D90" s="68"/>
      <x:c r="E90" s="75"/>
      <x:c r="F90" s="68"/>
      <x:c r="G90" s="74"/>
      <x:c r="H90" s="68"/>
      <x:c r="I90" s="75"/>
      <x:c r="J90" s="68"/>
      <x:c r="K90" s="74"/>
    </x:row>
    <x:row r="91" ht="20" customHeight="1">
      <x:c r="A91" s="37" t="str">
        <x:v>but</x:v>
      </x:c>
      <x:c r="B91" s="21" t="str">
        <x:v>/bʌt/</x:v>
      </x:c>
      <x:c r="C91" s="38" t="str">
        <x:v>但是，然而</x:v>
      </x:c>
      <x:c r="D91" s="68"/>
      <x:c r="E91" s="75"/>
      <x:c r="F91" s="68"/>
      <x:c r="G91" s="74"/>
      <x:c r="H91" s="68"/>
      <x:c r="I91" s="75"/>
      <x:c r="J91" s="68"/>
      <x:c r="K91" s="74"/>
    </x:row>
    <x:row r="92" ht="20" customHeight="1">
      <x:c r="A92" s="39" t="str">
        <x:v>both</x:v>
      </x:c>
      <x:c r="B92" s="28" t="str">
        <x:v>/bəʊθ/</x:v>
      </x:c>
      <x:c r="C92" s="40" t="str">
        <x:v>两个；两者（兼作代词）</x:v>
      </x:c>
      <x:c r="D92" s="68"/>
      <x:c r="E92" s="75"/>
      <x:c r="F92" s="68"/>
      <x:c r="G92" s="74"/>
      <x:c r="H92" s="68"/>
      <x:c r="I92" s="75"/>
      <x:c r="J92" s="68"/>
      <x:c r="K92" s="74"/>
    </x:row>
    <x:row r="93" ht="17" customHeight="1">
      <x:c r="A93" s="73" t="str">
        <x:v>代词（1）</x:v>
      </x:c>
      <x:c r="B93" s="68"/>
      <x:c r="C93" s="74"/>
      <x:c r="D93" s="68"/>
      <x:c r="E93" s="75"/>
      <x:c r="F93" s="68"/>
      <x:c r="G93" s="74"/>
      <x:c r="H93" s="68"/>
      <x:c r="I93" s="75"/>
      <x:c r="J93" s="68"/>
      <x:c r="K93" s="74"/>
    </x:row>
    <x:row r="94" ht="20" customHeight="1">
      <x:c r="A94" s="39" t="str">
        <x:v>both</x:v>
      </x:c>
      <x:c r="B94" s="28" t="str">
        <x:v>/bəʊθ/</x:v>
      </x:c>
      <x:c r="C94" s="40" t="str">
        <x:v>两个；两者（兼作连词）</x:v>
      </x:c>
      <x:c r="D94" s="68"/>
      <x:c r="E94" s="75"/>
      <x:c r="F94" s="68"/>
      <x:c r="G94" s="74"/>
      <x:c r="H94" s="68"/>
      <x:c r="I94" s="75"/>
      <x:c r="J94" s="68"/>
      <x:c r="K94" s="74"/>
    </x:row>
    <x:row r="95" ht="17" customHeight="1">
      <x:c r="A95" s="73" t="str">
        <x:v>数词（1）</x:v>
      </x:c>
      <x:c r="B95" s="68"/>
      <x:c r="C95" s="74"/>
      <x:c r="D95" s="68"/>
      <x:c r="E95" s="75"/>
      <x:c r="F95" s="68"/>
      <x:c r="G95" s="74"/>
      <x:c r="H95" s="68"/>
      <x:c r="I95" s="75"/>
      <x:c r="J95" s="68"/>
      <x:c r="K95" s="74"/>
    </x:row>
    <x:row r="96" ht="20" customHeight="1">
      <x:c r="A96" s="39" t="str">
        <x:v>billion</x:v>
      </x:c>
      <x:c r="B96" s="28" t="str">
        <x:v>/ˈbɪljən/</x:v>
      </x:c>
      <x:c r="C96" s="40" t="str">
        <x:v>十亿</x:v>
      </x:c>
      <x:c r="D96" s="68"/>
      <x:c r="E96" s="75"/>
      <x:c r="F96" s="68"/>
      <x:c r="G96" s="74"/>
      <x:c r="H96" s="68"/>
      <x:c r="I96" s="75"/>
      <x:c r="J96" s="68"/>
      <x:c r="K96" s="74"/>
    </x:row>
    <x:row r="97" ht="17" customHeight="1">
      <x:c r="A97" s="73" t="str">
        <x:v>感叹词（1）</x:v>
      </x:c>
      <x:c r="B97" s="68"/>
      <x:c r="C97" s="74"/>
      <x:c r="D97" s="68"/>
      <x:c r="E97" s="75"/>
      <x:c r="F97" s="68"/>
      <x:c r="G97" s="74"/>
      <x:c r="H97" s="68"/>
      <x:c r="I97" s="75"/>
      <x:c r="J97" s="68"/>
      <x:c r="K97" s="74"/>
    </x:row>
    <x:row r="98" ht="20" customHeight="1">
      <x:c r="A98" s="39" t="str">
        <x:v>bye</x:v>
      </x:c>
      <x:c r="B98" s="28" t="str">
        <x:v>/baɪ/</x:v>
      </x:c>
      <x:c r="C98" s="40" t="str">
        <x:v>再见</x:v>
      </x:c>
      <x:c r="D98" s="68"/>
      <x:c r="E98" s="75"/>
      <x:c r="F98" s="68"/>
      <x:c r="G98" s="74"/>
      <x:c r="H98" s="68"/>
      <x:c r="I98" s="75"/>
      <x:c r="J98" s="68"/>
      <x:c r="K98" s="74"/>
    </x:row>
    <x:row r="99" ht="17" customHeight="1">
      <x:c r="A99" s="73" t="str">
        <x:v>短语（7）</x:v>
      </x:c>
      <x:c r="B99" s="68"/>
      <x:c r="C99" s="74"/>
      <x:c r="D99" s="68"/>
      <x:c r="E99" s="75"/>
      <x:c r="F99" s="68"/>
      <x:c r="G99" s="74"/>
      <x:c r="H99" s="68"/>
      <x:c r="I99" s="75"/>
      <x:c r="J99" s="68"/>
      <x:c r="K99" s="74"/>
    </x:row>
    <x:row r="100" ht="20" customHeight="1">
      <x:c r="A100" s="39" t="str">
        <x:v>a</x:v>
      </x:c>
      <x:c r="B100" s="28" t="str"/>
      <x:c r="C100" s="40" t="str">
        <x:v>bit 稍微；有点儿</x:v>
      </x:c>
      <x:c r="D100" s="68"/>
      <x:c r="E100" s="75"/>
      <x:c r="F100" s="68"/>
      <x:c r="G100" s="74"/>
      <x:c r="H100" s="68"/>
      <x:c r="I100" s="75"/>
      <x:c r="J100" s="68"/>
      <x:c r="K100" s="74"/>
    </x:row>
    <x:row r="101" ht="20" customHeight="1">
      <x:c r="A101" s="37" t="str">
        <x:v>at</x:v>
      </x:c>
      <x:c r="B101" s="21" t="str"/>
      <x:c r="C101" s="38" t="str">
        <x:v>the bottom of... 在……的底部</x:v>
      </x:c>
      <x:c r="D101" s="68"/>
      <x:c r="E101" s="75"/>
      <x:c r="F101" s="68"/>
      <x:c r="G101" s="74"/>
      <x:c r="H101" s="68"/>
      <x:c r="I101" s="75"/>
      <x:c r="J101" s="68"/>
      <x:c r="K101" s="74"/>
    </x:row>
    <x:row r="102" ht="20" customHeight="1">
      <x:c r="A102" s="39" t="str">
        <x:v>be</x:v>
      </x:c>
      <x:c r="B102" s="28" t="str"/>
      <x:c r="C102" s="40" t="str">
        <x:v>bad for 对……有害的</x:v>
      </x:c>
      <x:c r="D102" s="68"/>
      <x:c r="E102" s="75"/>
      <x:c r="F102" s="68"/>
      <x:c r="G102" s="74"/>
      <x:c r="H102" s="68"/>
      <x:c r="I102" s="75"/>
      <x:c r="J102" s="68"/>
      <x:c r="K102" s="74"/>
    </x:row>
    <x:row r="103" ht="20" customHeight="1">
      <x:c r="A103" s="37" t="str">
        <x:v>be</x:v>
      </x:c>
      <x:c r="B103" s="21" t="str"/>
      <x:c r="C103" s="38" t="str">
        <x:v>famous for 因……而闻名</x:v>
      </x:c>
      <x:c r="D103" s="68"/>
      <x:c r="E103" s="75"/>
      <x:c r="F103" s="68"/>
      <x:c r="G103" s="74"/>
      <x:c r="H103" s="68"/>
      <x:c r="I103" s="75"/>
      <x:c r="J103" s="68"/>
      <x:c r="K103" s="74"/>
    </x:row>
    <x:row r="104" ht="20" customHeight="1">
      <x:c r="A104" s="39" t="str">
        <x:v>go</x:v>
      </x:c>
      <x:c r="B104" s="28" t="str"/>
      <x:c r="C104" s="40" t="str">
        <x:v>back 回去</x:v>
      </x:c>
      <x:c r="D104" s="68"/>
      <x:c r="E104" s="75"/>
      <x:c r="F104" s="68"/>
      <x:c r="G104" s="74"/>
      <x:c r="H104" s="68"/>
      <x:c r="I104" s="75"/>
      <x:c r="J104" s="68"/>
      <x:c r="K104" s="74"/>
    </x:row>
    <x:row r="105" ht="20" customHeight="1">
      <x:c r="A105" s="37" t="str">
        <x:v>go</x:v>
      </x:c>
      <x:c r="B105" s="21" t="str"/>
      <x:c r="C105" s="38" t="str">
        <x:v>to bed 上床睡觉</x:v>
      </x:c>
      <x:c r="D105" s="68"/>
      <x:c r="E105" s="75"/>
      <x:c r="F105" s="68"/>
      <x:c r="G105" s="74"/>
      <x:c r="H105" s="68"/>
      <x:c r="I105" s="75"/>
      <x:c r="J105" s="68"/>
      <x:c r="K105" s="74"/>
    </x:row>
    <x:row r="106" ht="20" customHeight="1">
      <x:c r="A106" s="39" t="str">
        <x:v>have</x:v>
      </x:c>
      <x:c r="B106" s="28" t="str"/>
      <x:c r="C106" s="40" t="str">
        <x:v>breakfast 吃早餐</x:v>
      </x:c>
      <x:c r="D106" s="68"/>
      <x:c r="E106" s="75"/>
      <x:c r="F106" s="68"/>
      <x:c r="G106" s="74"/>
      <x:c r="H106" s="68"/>
      <x:c r="I106" s="75"/>
      <x:c r="J106" s="68"/>
      <x:c r="K106" s="74"/>
    </x:row>
    <x:row r="107">
      <x:c r="A107" s="76"/>
      <x:c r="B107" s="77"/>
      <x:c r="C107" s="78"/>
      <x:c r="D107" s="68"/>
      <x:c r="E107" s="76"/>
      <x:c r="F107" s="77"/>
      <x:c r="G107" s="78"/>
      <x:c r="H107" s="68"/>
      <x:c r="I107" s="76"/>
      <x:c r="J107" s="77"/>
      <x:c r="K107" s="78"/>
    </x:row>
    <x:row r="108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</x:row>
    <x:row r="109" ht="27" customHeight="1">
      <x:c r="A109" s="65" t="str">
        <x:v>C 开头单词（1/2）</x:v>
      </x:c>
      <x:c r="B109" s="66"/>
      <x:c r="C109" s="67"/>
      <x:c r="D109" s="68"/>
      <x:c r="E109" s="69"/>
      <x:c r="F109" s="66"/>
      <x:c r="G109" s="67"/>
      <x:c r="H109" s="68"/>
      <x:c r="I109" s="69"/>
      <x:c r="J109" s="66"/>
      <x:c r="K109" s="67"/>
    </x:row>
    <x:row r="110" ht="19" customHeight="1">
      <x:c r="A110" s="70" t="str">
        <x:v>英文单词 / 短语</x:v>
      </x:c>
      <x:c r="B110" s="71" t="str">
        <x:v>音标</x:v>
      </x:c>
      <x:c r="C110" s="72" t="str">
        <x:v>中文解释</x:v>
      </x:c>
      <x:c r="D110" s="68"/>
      <x:c r="E110" s="70" t="str">
        <x:v>英文单词 / 短语</x:v>
      </x:c>
      <x:c r="F110" s="71" t="str">
        <x:v>音标</x:v>
      </x:c>
      <x:c r="G110" s="72" t="str">
        <x:v>中文解释</x:v>
      </x:c>
      <x:c r="H110" s="68"/>
      <x:c r="I110" s="70" t="str">
        <x:v>英文单词 / 短语</x:v>
      </x:c>
      <x:c r="J110" s="71" t="str">
        <x:v>音标</x:v>
      </x:c>
      <x:c r="K110" s="72" t="str">
        <x:v>中文解释</x:v>
      </x:c>
    </x:row>
    <x:row r="111" ht="20" customHeight="1">
      <x:c r="A111" s="73" t="str">
        <x:v>名词（58）</x:v>
      </x:c>
      <x:c r="B111" s="68"/>
      <x:c r="C111" s="74"/>
      <x:c r="D111" s="68"/>
      <x:c r="E111" s="39" t="str">
        <x:v>choice</x:v>
      </x:c>
      <x:c r="F111" s="28" t="str">
        <x:v>/tʃɔɪs/</x:v>
      </x:c>
      <x:c r="G111" s="40" t="str">
        <x:v>选择；挑选</x:v>
      </x:c>
      <x:c r="H111" s="68"/>
      <x:c r="I111" s="39" t="str">
        <x:v>corn</x:v>
      </x:c>
      <x:c r="J111" s="28" t="str">
        <x:v>/kɔːn/</x:v>
      </x:c>
      <x:c r="K111" s="40" t="str">
        <x:v>玉米</x:v>
      </x:c>
    </x:row>
    <x:row r="112" ht="20" customHeight="1">
      <x:c r="A112" s="37" t="str">
        <x:v>cake</x:v>
      </x:c>
      <x:c r="B112" s="21" t="str">
        <x:v>/keɪk/</x:v>
      </x:c>
      <x:c r="C112" s="38" t="str">
        <x:v>蛋糕</x:v>
      </x:c>
      <x:c r="D112" s="68"/>
      <x:c r="E112" s="37" t="str">
        <x:v>Christmas</x:v>
      </x:c>
      <x:c r="F112" s="21" t="str">
        <x:v>/ˈkrɪsməs/</x:v>
      </x:c>
      <x:c r="G112" s="38" t="str">
        <x:v>圣诞节</x:v>
      </x:c>
      <x:c r="H112" s="68"/>
      <x:c r="I112" s="37" t="str">
        <x:v>cost</x:v>
      </x:c>
      <x:c r="J112" s="21" t="str">
        <x:v>/kɒst/</x:v>
      </x:c>
      <x:c r="K112" s="38" t="str">
        <x:v>价钱；花费；价格；成本；代价</x:v>
      </x:c>
    </x:row>
    <x:row r="113" ht="20" customHeight="1">
      <x:c r="A113" s="39" t="str">
        <x:v>camera</x:v>
      </x:c>
      <x:c r="B113" s="28" t="str">
        <x:v>/ˈkæmərə/</x:v>
      </x:c>
      <x:c r="C113" s="40" t="str">
        <x:v>照相机</x:v>
      </x:c>
      <x:c r="D113" s="68"/>
      <x:c r="E113" s="39" t="str">
        <x:v>church</x:v>
      </x:c>
      <x:c r="F113" s="28" t="str">
        <x:v>/tʃɜːtʃ/</x:v>
      </x:c>
      <x:c r="G113" s="40" t="str">
        <x:v>教堂</x:v>
      </x:c>
      <x:c r="H113" s="68"/>
      <x:c r="I113" s="39" t="str">
        <x:v>country</x:v>
      </x:c>
      <x:c r="J113" s="28" t="str">
        <x:v>/ˈkʌntri/</x:v>
      </x:c>
      <x:c r="K113" s="40" t="str">
        <x:v>国家；乡下；乡村</x:v>
      </x:c>
    </x:row>
    <x:row r="114" ht="20" customHeight="1">
      <x:c r="A114" s="37" t="str">
        <x:v>camp</x:v>
      </x:c>
      <x:c r="B114" s="21" t="str">
        <x:v>/kæmp/</x:v>
      </x:c>
      <x:c r="C114" s="38" t="str">
        <x:v>营地；帐篷</x:v>
      </x:c>
      <x:c r="D114" s="68"/>
      <x:c r="E114" s="37" t="str">
        <x:v>cinema</x:v>
      </x:c>
      <x:c r="F114" s="21" t="str">
        <x:v>/ˈsɪnəmə/</x:v>
      </x:c>
      <x:c r="G114" s="38" t="str">
        <x:v>电影院</x:v>
      </x:c>
      <x:c r="H114" s="68"/>
      <x:c r="I114" s="37" t="str">
        <x:v>countryside</x:v>
      </x:c>
      <x:c r="J114" s="21" t="str">
        <x:v>/ˈkʌntrisaɪd/</x:v>
      </x:c>
      <x:c r="K114" s="38" t="str">
        <x:v>农村地区；乡下</x:v>
      </x:c>
    </x:row>
    <x:row r="115" ht="20" customHeight="1">
      <x:c r="A115" s="39" t="str">
        <x:v>Canada</x:v>
      </x:c>
      <x:c r="B115" s="28" t="str">
        <x:v>/ˈkænədə/</x:v>
      </x:c>
      <x:c r="C115" s="40" t="str">
        <x:v>加拿大</x:v>
      </x:c>
      <x:c r="D115" s="68"/>
      <x:c r="E115" s="39" t="str">
        <x:v>city</x:v>
      </x:c>
      <x:c r="F115" s="28" t="str">
        <x:v>/ˈsɪti/</x:v>
      </x:c>
      <x:c r="G115" s="40" t="str">
        <x:v>城市</x:v>
      </x:c>
      <x:c r="H115" s="68"/>
      <x:c r="I115" s="39" t="str">
        <x:v>course</x:v>
      </x:c>
      <x:c r="J115" s="28" t="str">
        <x:v>/kɔːs/</x:v>
      </x:c>
      <x:c r="K115" s="40" t="str">
        <x:v>课程；过程</x:v>
      </x:c>
    </x:row>
    <x:row r="116" ht="20" customHeight="1">
      <x:c r="A116" s="37" t="str">
        <x:v>candle</x:v>
      </x:c>
      <x:c r="B116" s="21" t="str">
        <x:v>/ˈkændl/</x:v>
      </x:c>
      <x:c r="C116" s="38" t="str">
        <x:v>蜡烛</x:v>
      </x:c>
      <x:c r="D116" s="68"/>
      <x:c r="E116" s="37" t="str">
        <x:v>class</x:v>
      </x:c>
      <x:c r="F116" s="21" t="str">
        <x:v>/klɑːs/</x:v>
      </x:c>
      <x:c r="G116" s="38" t="str">
        <x:v>同学；班级</x:v>
      </x:c>
      <x:c r="H116" s="68"/>
      <x:c r="I116" s="37" t="str">
        <x:v>cousin</x:v>
      </x:c>
      <x:c r="J116" s="21" t="str">
        <x:v>/ˈkʌzn/</x:v>
      </x:c>
      <x:c r="K116" s="38" t="str">
        <x:v>堂兄弟；表兄弟；堂姐妹；表姐妹</x:v>
      </x:c>
    </x:row>
    <x:row r="117" ht="20" customHeight="1">
      <x:c r="A117" s="39" t="str">
        <x:v>candy</x:v>
      </x:c>
      <x:c r="B117" s="28" t="str">
        <x:v>/ˈkændi/</x:v>
      </x:c>
      <x:c r="C117" s="40" t="str">
        <x:v>糖果</x:v>
      </x:c>
      <x:c r="D117" s="68"/>
      <x:c r="E117" s="39" t="str">
        <x:v>classroom</x:v>
      </x:c>
      <x:c r="F117" s="28" t="str">
        <x:v>/ˈklɑːsruːm/</x:v>
      </x:c>
      <x:c r="G117" s="40" t="str">
        <x:v>教室</x:v>
      </x:c>
      <x:c r="H117" s="68"/>
      <x:c r="I117" s="39" t="str">
        <x:v>cow</x:v>
      </x:c>
      <x:c r="J117" s="28" t="str">
        <x:v>/kaʊ/</x:v>
      </x:c>
      <x:c r="K117" s="40" t="str">
        <x:v>母牛；奶牛</x:v>
      </x:c>
    </x:row>
    <x:row r="118" ht="20" customHeight="1">
      <x:c r="A118" s="37" t="str">
        <x:v>cap</x:v>
      </x:c>
      <x:c r="B118" s="21" t="str">
        <x:v>/kæp/</x:v>
      </x:c>
      <x:c r="C118" s="38" t="str">
        <x:v>帽子</x:v>
      </x:c>
      <x:c r="D118" s="68"/>
      <x:c r="E118" s="37" t="str">
        <x:v>club</x:v>
      </x:c>
      <x:c r="F118" s="21" t="str">
        <x:v>/klʌb/</x:v>
      </x:c>
      <x:c r="G118" s="38" t="str">
        <x:v>俱乐部</x:v>
      </x:c>
      <x:c r="H118" s="68"/>
      <x:c r="I118" s="37" t="str">
        <x:v>culture</x:v>
      </x:c>
      <x:c r="J118" s="21" t="str">
        <x:v>/ˈkʌltʃə(r)/</x:v>
      </x:c>
      <x:c r="K118" s="38" t="str">
        <x:v>文化</x:v>
      </x:c>
    </x:row>
    <x:row r="119" ht="20" customHeight="1">
      <x:c r="A119" s="39" t="str">
        <x:v>capital</x:v>
      </x:c>
      <x:c r="B119" s="28" t="str">
        <x:v>/ˈkæpɪtl/</x:v>
      </x:c>
      <x:c r="C119" s="40" t="str">
        <x:v>首都；省会</x:v>
      </x:c>
      <x:c r="D119" s="68"/>
      <x:c r="E119" s="39" t="str">
        <x:v>coach</x:v>
      </x:c>
      <x:c r="F119" s="28" t="str">
        <x:v>/kəʊtʃ/</x:v>
      </x:c>
      <x:c r="G119" s="40" t="str">
        <x:v>教练</x:v>
      </x:c>
      <x:c r="H119" s="68"/>
      <x:c r="I119" s="39" t="str">
        <x:v>customer</x:v>
      </x:c>
      <x:c r="J119" s="28" t="str">
        <x:v>/ˈkʌstəmə(r)/</x:v>
      </x:c>
      <x:c r="K119" s="40" t="str">
        <x:v>顾客</x:v>
      </x:c>
    </x:row>
    <x:row r="120" ht="20" customHeight="1">
      <x:c r="A120" s="37" t="str">
        <x:v>car</x:v>
      </x:c>
      <x:c r="B120" s="21" t="str">
        <x:v>/kɑː/</x:v>
      </x:c>
      <x:c r="C120" s="38" t="str">
        <x:v>汽车；轿车</x:v>
      </x:c>
      <x:c r="D120" s="68"/>
      <x:c r="E120" s="37" t="str">
        <x:v>coast</x:v>
      </x:c>
      <x:c r="F120" s="21" t="str">
        <x:v>/kəʊst/</x:v>
      </x:c>
      <x:c r="G120" s="38" t="str">
        <x:v>海岸</x:v>
      </x:c>
      <x:c r="H120" s="68"/>
      <x:c r="I120" s="37" t="str">
        <x:v>cut</x:v>
      </x:c>
      <x:c r="J120" s="21" t="str">
        <x:v>/kʌt/</x:v>
      </x:c>
      <x:c r="K120" s="38" t="str">
        <x:v>切口；伤口（兼作动词）</x:v>
      </x:c>
    </x:row>
    <x:row r="121" ht="20" customHeight="1">
      <x:c r="A121" s="39" t="str">
        <x:v>card</x:v>
      </x:c>
      <x:c r="B121" s="28" t="str">
        <x:v>/kɑːd/</x:v>
      </x:c>
      <x:c r="C121" s="40" t="str">
        <x:v>卡片</x:v>
      </x:c>
      <x:c r="D121" s="68"/>
      <x:c r="E121" s="39" t="str">
        <x:v>coat</x:v>
      </x:c>
      <x:c r="F121" s="28" t="str">
        <x:v>/kəʊt/</x:v>
      </x:c>
      <x:c r="G121" s="40" t="str">
        <x:v>外套</x:v>
      </x:c>
      <x:c r="H121" s="68"/>
      <x:c r="I121" s="39" t="str">
        <x:v>cup</x:v>
      </x:c>
      <x:c r="J121" s="28" t="str">
        <x:v>/kʌp/</x:v>
      </x:c>
      <x:c r="K121" s="40" t="str">
        <x:v>杯子</x:v>
      </x:c>
    </x:row>
    <x:row r="122" ht="17" customHeight="1">
      <x:c r="A122" s="37" t="str">
        <x:v>carrot</x:v>
      </x:c>
      <x:c r="B122" s="21" t="str">
        <x:v>/ˈkærət/</x:v>
      </x:c>
      <x:c r="C122" s="38" t="str">
        <x:v>胡萝卜</x:v>
      </x:c>
      <x:c r="D122" s="68"/>
      <x:c r="E122" s="37" t="str">
        <x:v>coffee</x:v>
      </x:c>
      <x:c r="F122" s="21" t="str">
        <x:v>/ˈkɒfi/</x:v>
      </x:c>
      <x:c r="G122" s="38" t="str">
        <x:v>咖啡</x:v>
      </x:c>
      <x:c r="H122" s="68"/>
      <x:c r="I122" s="73" t="str">
        <x:v>动词（29）</x:v>
      </x:c>
      <x:c r="J122" s="68"/>
      <x:c r="K122" s="74"/>
    </x:row>
    <x:row r="123" ht="20" customHeight="1">
      <x:c r="A123" s="39" t="str">
        <x:v>cat</x:v>
      </x:c>
      <x:c r="B123" s="28" t="str">
        <x:v>/kæt/</x:v>
      </x:c>
      <x:c r="C123" s="40" t="str">
        <x:v>猫</x:v>
      </x:c>
      <x:c r="D123" s="68"/>
      <x:c r="E123" s="39" t="str">
        <x:v>coin</x:v>
      </x:c>
      <x:c r="F123" s="28" t="str">
        <x:v>/kɔɪn/</x:v>
      </x:c>
      <x:c r="G123" s="40" t="str">
        <x:v>硬币</x:v>
      </x:c>
      <x:c r="H123" s="68"/>
      <x:c r="I123" s="39" t="str">
        <x:v>call</x:v>
      </x:c>
      <x:c r="J123" s="28" t="str">
        <x:v>/kɔːl/</x:v>
      </x:c>
      <x:c r="K123" s="40" t="str">
        <x:v>把……叫做；称呼……为；（给……）打电话</x:v>
      </x:c>
    </x:row>
    <x:row r="124" ht="20" customHeight="1">
      <x:c r="A124" s="37" t="str">
        <x:v>CD</x:v>
      </x:c>
      <x:c r="B124" s="21" t="str">
        <x:v>/ˌsiː ˈdiː/</x:v>
      </x:c>
      <x:c r="C124" s="38" t="str">
        <x:v>激光唱片；光盘</x:v>
      </x:c>
      <x:c r="D124" s="68"/>
      <x:c r="E124" s="37" t="str">
        <x:v>coke</x:v>
      </x:c>
      <x:c r="F124" s="21" t="str">
        <x:v>/kəʊk/</x:v>
      </x:c>
      <x:c r="G124" s="38" t="str">
        <x:v>可乐</x:v>
      </x:c>
      <x:c r="H124" s="68"/>
      <x:c r="I124" s="37" t="str">
        <x:v>can't</x:v>
      </x:c>
      <x:c r="J124" s="21" t="str"/>
      <x:c r="K124" s="38" t="str">
        <x:v>help doing sth. 忍不住做某事（固定搭配，核心动词为help）</x:v>
      </x:c>
    </x:row>
    <x:row r="125" ht="20" customHeight="1">
      <x:c r="A125" s="39" t="str">
        <x:v>cent</x:v>
      </x:c>
      <x:c r="B125" s="28" t="str">
        <x:v>/sent/</x:v>
      </x:c>
      <x:c r="C125" s="40" t="str">
        <x:v>分（货币单位）</x:v>
      </x:c>
      <x:c r="D125" s="68"/>
      <x:c r="E125" s="39" t="str">
        <x:v>cold</x:v>
      </x:c>
      <x:c r="F125" s="28" t="str">
        <x:v>/kəʊld/</x:v>
      </x:c>
      <x:c r="G125" s="40" t="str">
        <x:v>感冒</x:v>
      </x:c>
      <x:c r="H125" s="68"/>
      <x:c r="I125" s="39" t="str">
        <x:v>catch</x:v>
      </x:c>
      <x:c r="J125" s="28" t="str">
        <x:v>/kætʃ/</x:v>
      </x:c>
      <x:c r="K125" s="40" t="str">
        <x:v>抓住；接住</x:v>
      </x:c>
    </x:row>
    <x:row r="126" ht="20" customHeight="1">
      <x:c r="A126" s="37" t="str">
        <x:v>centre (AmE center)</x:v>
      </x:c>
      <x:c r="B126" s="21" t="str">
        <x:v>/ˈsentə(r)/</x:v>
      </x:c>
      <x:c r="C126" s="38" t="str">
        <x:v>中心</x:v>
      </x:c>
      <x:c r="D126" s="68"/>
      <x:c r="E126" s="37" t="str">
        <x:v>colour (AmE color)</x:v>
      </x:c>
      <x:c r="F126" s="21" t="str">
        <x:v>/ˈkʌlə(r)/</x:v>
      </x:c>
      <x:c r="G126" s="38" t="str">
        <x:v>颜色</x:v>
      </x:c>
      <x:c r="H126" s="68"/>
      <x:c r="I126" s="37" t="str">
        <x:v>celebrate</x:v>
      </x:c>
      <x:c r="J126" s="21" t="str">
        <x:v>/ˈselɪbreɪt/</x:v>
      </x:c>
      <x:c r="K126" s="38" t="str">
        <x:v>庆祝</x:v>
      </x:c>
    </x:row>
    <x:row r="127" ht="20" customHeight="1">
      <x:c r="A127" s="39" t="str">
        <x:v>century</x:v>
      </x:c>
      <x:c r="B127" s="28" t="str">
        <x:v>/ˈsentʃəri/</x:v>
      </x:c>
      <x:c r="C127" s="40" t="str">
        <x:v>世纪</x:v>
      </x:c>
      <x:c r="D127" s="68"/>
      <x:c r="E127" s="39" t="str">
        <x:v>company</x:v>
      </x:c>
      <x:c r="F127" s="28" t="str">
        <x:v>/ˈkʌmpəni/</x:v>
      </x:c>
      <x:c r="G127" s="40" t="str">
        <x:v>公司；剧团</x:v>
      </x:c>
      <x:c r="H127" s="68"/>
      <x:c r="I127" s="39" t="str">
        <x:v>change</x:v>
      </x:c>
      <x:c r="J127" s="28" t="str">
        <x:v>/tʃeɪndʒ/</x:v>
      </x:c>
      <x:c r="K127" s="40" t="str">
        <x:v>改变；变化</x:v>
      </x:c>
    </x:row>
    <x:row r="128" ht="20" customHeight="1">
      <x:c r="A128" s="37" t="str">
        <x:v>chair</x:v>
      </x:c>
      <x:c r="B128" s="21" t="str">
        <x:v>/tʃeə/</x:v>
      </x:c>
      <x:c r="C128" s="38" t="str">
        <x:v>椅子</x:v>
      </x:c>
      <x:c r="D128" s="68"/>
      <x:c r="E128" s="37" t="str">
        <x:v>competition</x:v>
      </x:c>
      <x:c r="F128" s="21" t="str">
        <x:v>/ˌkɒmpəˈtɪʃn/</x:v>
      </x:c>
      <x:c r="G128" s="38" t="str">
        <x:v>比赛；竞争</x:v>
      </x:c>
      <x:c r="H128" s="68"/>
      <x:c r="I128" s="37" t="str">
        <x:v>check</x:v>
      </x:c>
      <x:c r="J128" s="21" t="str">
        <x:v>/tʃek/</x:v>
      </x:c>
      <x:c r="K128" s="38" t="str">
        <x:v>检查；查看</x:v>
      </x:c>
    </x:row>
    <x:row r="129" ht="20" customHeight="1">
      <x:c r="A129" s="39" t="str">
        <x:v>chalk</x:v>
      </x:c>
      <x:c r="B129" s="28" t="str">
        <x:v>/tʃɔːk/</x:v>
      </x:c>
      <x:c r="C129" s="40" t="str">
        <x:v>粉笔</x:v>
      </x:c>
      <x:c r="D129" s="68"/>
      <x:c r="E129" s="39" t="str">
        <x:v>computer</x:v>
      </x:c>
      <x:c r="F129" s="28" t="str">
        <x:v>/kəmˈpjuːtə(r)/</x:v>
      </x:c>
      <x:c r="G129" s="40" t="str">
        <x:v>计算机；电脑</x:v>
      </x:c>
      <x:c r="H129" s="68"/>
      <x:c r="I129" s="39" t="str">
        <x:v>choose</x:v>
      </x:c>
      <x:c r="J129" s="28" t="str">
        <x:v>/tʃuːz/</x:v>
      </x:c>
      <x:c r="K129" s="40" t="str">
        <x:v>选择；挑选</x:v>
      </x:c>
    </x:row>
    <x:row r="130" ht="20" customHeight="1">
      <x:c r="A130" s="37" t="str">
        <x:v>cheese</x:v>
      </x:c>
      <x:c r="B130" s="21" t="str">
        <x:v>/tʃiːz/</x:v>
      </x:c>
      <x:c r="C130" s="38" t="str">
        <x:v>奶酪</x:v>
      </x:c>
      <x:c r="D130" s="68"/>
      <x:c r="E130" s="37" t="str">
        <x:v>concert</x:v>
      </x:c>
      <x:c r="F130" s="21" t="str">
        <x:v>/ˈkɒnsət/</x:v>
      </x:c>
      <x:c r="G130" s="38" t="str">
        <x:v>音乐会</x:v>
      </x:c>
      <x:c r="H130" s="68"/>
      <x:c r="I130" s="37" t="str">
        <x:v>clean</x:v>
      </x:c>
      <x:c r="J130" s="21" t="str">
        <x:v>/kliːn/</x:v>
      </x:c>
      <x:c r="K130" s="38" t="str">
        <x:v>打扫</x:v>
      </x:c>
    </x:row>
    <x:row r="131" ht="20" customHeight="1">
      <x:c r="A131" s="39" t="str">
        <x:v>chicken</x:v>
      </x:c>
      <x:c r="B131" s="28" t="str">
        <x:v>/ˈtʃɪkɪn/</x:v>
      </x:c>
      <x:c r="C131" s="40" t="str">
        <x:v>鸡肉</x:v>
      </x:c>
      <x:c r="D131" s="68"/>
      <x:c r="E131" s="39" t="str">
        <x:v>condition</x:v>
      </x:c>
      <x:c r="F131" s="28" t="str">
        <x:v>/kənˈdɪʃn/</x:v>
      </x:c>
      <x:c r="G131" s="40" t="str">
        <x:v>状况；身体状况</x:v>
      </x:c>
      <x:c r="H131" s="68"/>
      <x:c r="I131" s="39" t="str">
        <x:v>clear</x:v>
      </x:c>
      <x:c r="J131" s="28" t="str">
        <x:v>/klɪə(r)/</x:v>
      </x:c>
      <x:c r="K131" s="40" t="str">
        <x:v>清除；清理；移走</x:v>
      </x:c>
    </x:row>
    <x:row r="132" ht="20" customHeight="1">
      <x:c r="A132" s="37" t="str">
        <x:v>child</x:v>
      </x:c>
      <x:c r="B132" s="21" t="str">
        <x:v>/tʃaɪld/</x:v>
      </x:c>
      <x:c r="C132" s="38" t="str">
        <x:v>(pl. children) 小孩，儿童</x:v>
      </x:c>
      <x:c r="D132" s="68"/>
      <x:c r="E132" s="37" t="str">
        <x:v>cook</x:v>
      </x:c>
      <x:c r="F132" s="21" t="str">
        <x:v>/kʊk/</x:v>
      </x:c>
      <x:c r="G132" s="38" t="str">
        <x:v>厨师</x:v>
      </x:c>
      <x:c r="H132" s="68"/>
      <x:c r="I132" s="37" t="str">
        <x:v>climb</x:v>
      </x:c>
      <x:c r="J132" s="21" t="str">
        <x:v>/klaɪm/</x:v>
      </x:c>
      <x:c r="K132" s="38" t="str">
        <x:v>爬；攀爬</x:v>
      </x:c>
    </x:row>
    <x:row r="133" ht="20" customHeight="1">
      <x:c r="A133" s="39" t="str">
        <x:v>China</x:v>
      </x:c>
      <x:c r="B133" s="28" t="str">
        <x:v>/ˈtʃaɪnə/</x:v>
      </x:c>
      <x:c r="C133" s="40" t="str">
        <x:v>中国</x:v>
      </x:c>
      <x:c r="D133" s="68"/>
      <x:c r="E133" s="39" t="str">
        <x:v>cookie</x:v>
      </x:c>
      <x:c r="F133" s="28" t="str">
        <x:v>/ˈkʊki/</x:v>
      </x:c>
      <x:c r="G133" s="40" t="str">
        <x:v>小甜饼；曲奇饼</x:v>
      </x:c>
      <x:c r="H133" s="68"/>
      <x:c r="I133" s="39" t="str">
        <x:v>close</x:v>
      </x:c>
      <x:c r="J133" s="28" t="str">
        <x:v>/kləʊz/</x:v>
      </x:c>
      <x:c r="K133" s="40" t="str">
        <x:v>合上；关闭</x:v>
      </x:c>
    </x:row>
    <x:row r="134" ht="20" customHeight="1">
      <x:c r="A134" s="41" t="str">
        <x:v>chocolate</x:v>
      </x:c>
      <x:c r="B134" s="42" t="str">
        <x:v>/ˈtʃɒklət/</x:v>
      </x:c>
      <x:c r="C134" s="43" t="str">
        <x:v>巧克力</x:v>
      </x:c>
      <x:c r="D134" s="68"/>
      <x:c r="E134" s="41" t="str">
        <x:v>copy</x:v>
      </x:c>
      <x:c r="F134" s="42" t="str">
        <x:v>/ˈkɒpi/</x:v>
      </x:c>
      <x:c r="G134" s="43" t="str">
        <x:v>(一)本；(一)份</x:v>
      </x:c>
      <x:c r="H134" s="68"/>
      <x:c r="I134" s="41" t="str">
        <x:v>collect</x:v>
      </x:c>
      <x:c r="J134" s="42" t="str">
        <x:v>/kəˈlekt/</x:v>
      </x:c>
      <x:c r="K134" s="43" t="str">
        <x:v>收集</x:v>
      </x:c>
    </x:row>
    <x:row r="135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</x:row>
    <x:row r="136" ht="27" customHeight="1">
      <x:c r="A136" s="65" t="str">
        <x:v>C 开头单词（2/2）</x:v>
      </x:c>
      <x:c r="B136" s="66"/>
      <x:c r="C136" s="67"/>
      <x:c r="D136" s="68"/>
      <x:c r="E136" s="69"/>
      <x:c r="F136" s="66"/>
      <x:c r="G136" s="67"/>
      <x:c r="H136" s="68"/>
      <x:c r="I136" s="69"/>
      <x:c r="J136" s="66"/>
      <x:c r="K136" s="67"/>
    </x:row>
    <x:row r="137" ht="19" customHeight="1">
      <x:c r="A137" s="70" t="str">
        <x:v>英文单词 / 短语</x:v>
      </x:c>
      <x:c r="B137" s="71" t="str">
        <x:v>音标</x:v>
      </x:c>
      <x:c r="C137" s="72" t="str">
        <x:v>中文解释</x:v>
      </x:c>
      <x:c r="D137" s="68"/>
      <x:c r="E137" s="70" t="str">
        <x:v>英文单词 / 短语</x:v>
      </x:c>
      <x:c r="F137" s="71" t="str">
        <x:v>音标</x:v>
      </x:c>
      <x:c r="G137" s="72" t="str">
        <x:v>中文解释</x:v>
      </x:c>
      <x:c r="H137" s="68"/>
      <x:c r="I137" s="70" t="str">
        <x:v>英文单词 / 短语</x:v>
      </x:c>
      <x:c r="J137" s="71" t="str">
        <x:v>音标</x:v>
      </x:c>
      <x:c r="K137" s="72" t="str">
        <x:v>中文解释</x:v>
      </x:c>
    </x:row>
    <x:row r="138" ht="20" customHeight="1">
      <x:c r="A138" s="39" t="str">
        <x:v>come</x:v>
      </x:c>
      <x:c r="B138" s="28" t="str">
        <x:v>/kʌm/</x:v>
      </x:c>
      <x:c r="C138" s="40" t="str">
        <x:v>来</x:v>
      </x:c>
      <x:c r="D138" s="68"/>
      <x:c r="E138" s="39" t="str">
        <x:v>classical</x:v>
      </x:c>
      <x:c r="F138" s="28" t="str">
        <x:v>/ˈklæsɪkl/</x:v>
      </x:c>
      <x:c r="G138" s="40" t="str">
        <x:v>经典的；古典的</x:v>
      </x:c>
      <x:c r="H138" s="68"/>
      <x:c r="I138" s="39" t="str">
        <x:v>catch</x:v>
      </x:c>
      <x:c r="J138" s="28" t="str"/>
      <x:c r="K138" s="40" t="str">
        <x:v>a cold 感冒</x:v>
      </x:c>
    </x:row>
    <x:row r="139" ht="20" customHeight="1">
      <x:c r="A139" s="37" t="str">
        <x:v>come</x:v>
      </x:c>
      <x:c r="B139" s="21" t="str"/>
      <x:c r="C139" s="38" t="str">
        <x:v>out 问世；出版（固定搭配）</x:v>
      </x:c>
      <x:c r="D139" s="68"/>
      <x:c r="E139" s="37" t="str">
        <x:v>clear</x:v>
      </x:c>
      <x:c r="F139" s="21" t="str">
        <x:v>/klɪə(r)/</x:v>
      </x:c>
      <x:c r="G139" s="38" t="str">
        <x:v>不和……接触的；不挨……太近的；（天气）晴朗的</x:v>
      </x:c>
      <x:c r="H139" s="68"/>
      <x:c r="I139" s="37" t="str">
        <x:v>Children's</x:v>
      </x:c>
      <x:c r="J139" s="21" t="str"/>
      <x:c r="K139" s="38" t="str">
        <x:v>Day 儿童节</x:v>
      </x:c>
    </x:row>
    <x:row r="140" ht="20" customHeight="1">
      <x:c r="A140" s="39" t="str">
        <x:v>communicate</x:v>
      </x:c>
      <x:c r="B140" s="28" t="str">
        <x:v>/kəˈmjuːnɪkeɪt/</x:v>
      </x:c>
      <x:c r="C140" s="40" t="str">
        <x:v>联系；交流</x:v>
      </x:c>
      <x:c r="D140" s="68"/>
      <x:c r="E140" s="39" t="str">
        <x:v>clever</x:v>
      </x:c>
      <x:c r="F140" s="28" t="str">
        <x:v>/ˈklevə(r)/</x:v>
      </x:c>
      <x:c r="G140" s="40" t="str">
        <x:v>聪明的；机灵的</x:v>
      </x:c>
      <x:c r="H140" s="68"/>
      <x:c r="I140" s="39" t="str">
        <x:v>come</x:v>
      </x:c>
      <x:c r="J140" s="28" t="str"/>
      <x:c r="K140" s="40" t="str">
        <x:v>from 来自</x:v>
      </x:c>
    </x:row>
    <x:row r="141" ht="20" customHeight="1">
      <x:c r="A141" s="37" t="str">
        <x:v>compare</x:v>
      </x:c>
      <x:c r="B141" s="21" t="str">
        <x:v>/kəmˈpeə(r)/</x:v>
      </x:c>
      <x:c r="C141" s="38" t="str">
        <x:v>比较</x:v>
      </x:c>
      <x:c r="D141" s="68"/>
      <x:c r="E141" s="37" t="str">
        <x:v>close</x:v>
      </x:c>
      <x:c r="F141" s="21" t="str">
        <x:v>/kləʊs/</x:v>
      </x:c>
      <x:c r="G141" s="38" t="str">
        <x:v>（距离上）近的；接近的</x:v>
      </x:c>
      <x:c r="H141" s="68"/>
      <x:c r="I141" s="37" t="str">
        <x:v>come</x:v>
      </x:c>
      <x:c r="J141" s="21" t="str"/>
      <x:c r="K141" s="38" t="str">
        <x:v>out 问世；出版</x:v>
      </x:c>
    </x:row>
    <x:row r="142" ht="20" customHeight="1">
      <x:c r="A142" s="39" t="str">
        <x:v>complete</x:v>
      </x:c>
      <x:c r="B142" s="28" t="str">
        <x:v>/kəmˈpliːt/</x:v>
      </x:c>
      <x:c r="C142" s="40" t="str">
        <x:v>把……填完整；使完全</x:v>
      </x:c>
      <x:c r="D142" s="68"/>
      <x:c r="E142" s="39" t="str">
        <x:v>cloudy</x:v>
      </x:c>
      <x:c r="F142" s="28" t="str">
        <x:v>/ˈklaʊdi/</x:v>
      </x:c>
      <x:c r="G142" s="40" t="str">
        <x:v>多云的</x:v>
      </x:c>
      <x:c r="H142" s="68"/>
      <x:c r="I142" s="39" t="str">
        <x:v>count</x:v>
      </x:c>
      <x:c r="J142" s="28" t="str"/>
      <x:c r="K142" s="40" t="str">
        <x:v>down 倒计时</x:v>
      </x:c>
    </x:row>
    <x:row r="143" ht="20" customHeight="1">
      <x:c r="A143" s="37" t="str">
        <x:v>connect</x:v>
      </x:c>
      <x:c r="B143" s="21" t="str">
        <x:v>/kəˈnekt/</x:v>
      </x:c>
      <x:c r="C143" s="38" t="str">
        <x:v>连接</x:v>
      </x:c>
      <x:c r="D143" s="68"/>
      <x:c r="E143" s="37" t="str">
        <x:v>cold</x:v>
      </x:c>
      <x:c r="F143" s="21" t="str">
        <x:v>/kəʊld/</x:v>
      </x:c>
      <x:c r="G143" s="38" t="str">
        <x:v>寒冷的</x:v>
      </x:c>
      <x:c r="H143" s="68"/>
      <x:c r="I143" s="37" t="str">
        <x:v>close</x:v>
      </x:c>
      <x:c r="J143" s="21" t="str"/>
      <x:c r="K143" s="38" t="str">
        <x:v>down （永久）关闭；关停</x:v>
      </x:c>
    </x:row>
    <x:row r="144" ht="20" customHeight="1">
      <x:c r="A144" s="39" t="str">
        <x:v>cook</x:v>
      </x:c>
      <x:c r="B144" s="28" t="str">
        <x:v>/kʊk/</x:v>
      </x:c>
      <x:c r="C144" s="40" t="str">
        <x:v>烹调；煮；烧</x:v>
      </x:c>
      <x:c r="D144" s="68"/>
      <x:c r="E144" s="39" t="str">
        <x:v>comfortable</x:v>
      </x:c>
      <x:c r="F144" s="28" t="str">
        <x:v>/ˈkʌmftəbl/</x:v>
      </x:c>
      <x:c r="G144" s="40" t="str">
        <x:v>舒适的；舒服的</x:v>
      </x:c>
      <x:c r="H144" s="68"/>
      <x:c r="I144" s="39" t="str">
        <x:v>in</x:v>
      </x:c>
      <x:c r="J144" s="28" t="str"/>
      <x:c r="K144" s="40" t="str">
        <x:v>excellent condition 健康状况很好</x:v>
      </x:c>
    </x:row>
    <x:row r="145" ht="20" customHeight="1">
      <x:c r="A145" s="37" t="str">
        <x:v>copy</x:v>
      </x:c>
      <x:c r="B145" s="21" t="str">
        <x:v>/ˈkɒpi/</x:v>
      </x:c>
      <x:c r="C145" s="38" t="str">
        <x:v>复制；抄写（兼作名词）</x:v>
      </x:c>
      <x:c r="D145" s="68"/>
      <x:c r="E145" s="37" t="str">
        <x:v>common</x:v>
      </x:c>
      <x:c r="F145" s="21" t="str">
        <x:v>/ˈkɒmən/</x:v>
      </x:c>
      <x:c r="G145" s="38" t="str">
        <x:v>普通的；一般的</x:v>
      </x:c>
      <x:c r="H145" s="68"/>
      <x:c r="I145" s="75"/>
      <x:c r="J145" s="68"/>
      <x:c r="K145" s="74"/>
    </x:row>
    <x:row r="146" ht="20" customHeight="1">
      <x:c r="A146" s="39" t="str">
        <x:v>cost</x:v>
      </x:c>
      <x:c r="B146" s="28" t="str">
        <x:v>/kɒst/</x:v>
      </x:c>
      <x:c r="C146" s="40" t="str">
        <x:v>价钱为；花费（兼作名词）</x:v>
      </x:c>
      <x:c r="D146" s="68"/>
      <x:c r="E146" s="39" t="str">
        <x:v>confident</x:v>
      </x:c>
      <x:c r="F146" s="28" t="str">
        <x:v>/ˈkɒnfɪdənt/</x:v>
      </x:c>
      <x:c r="G146" s="40" t="str">
        <x:v>自信的</x:v>
      </x:c>
      <x:c r="H146" s="68"/>
      <x:c r="I146" s="75"/>
      <x:c r="J146" s="68"/>
      <x:c r="K146" s="74"/>
    </x:row>
    <x:row r="147" ht="20" customHeight="1">
      <x:c r="A147" s="37" t="str">
        <x:v>cough</x:v>
      </x:c>
      <x:c r="B147" s="21" t="str">
        <x:v>/kɒf/</x:v>
      </x:c>
      <x:c r="C147" s="38" t="str">
        <x:v>咳嗽</x:v>
      </x:c>
      <x:c r="D147" s="68"/>
      <x:c r="E147" s="37" t="str">
        <x:v>cool</x:v>
      </x:c>
      <x:c r="F147" s="21" t="str">
        <x:v>/kuːl/</x:v>
      </x:c>
      <x:c r="G147" s="38" t="str">
        <x:v>凉快的；时髦的；酷的</x:v>
      </x:c>
      <x:c r="H147" s="68"/>
      <x:c r="I147" s="75"/>
      <x:c r="J147" s="68"/>
      <x:c r="K147" s="74"/>
    </x:row>
    <x:row r="148" ht="20" customHeight="1">
      <x:c r="A148" s="39" t="str">
        <x:v>count</x:v>
      </x:c>
      <x:c r="B148" s="28" t="str">
        <x:v>/kaʊnt/</x:v>
      </x:c>
      <x:c r="C148" s="40" t="str">
        <x:v>数；清点</x:v>
      </x:c>
      <x:c r="D148" s="68"/>
      <x:c r="E148" s="39" t="str">
        <x:v>correct</x:v>
      </x:c>
      <x:c r="F148" s="28" t="str">
        <x:v>/kəˈrekt/</x:v>
      </x:c>
      <x:c r="G148" s="40" t="str">
        <x:v>正确的；对的</x:v>
      </x:c>
      <x:c r="H148" s="68"/>
      <x:c r="I148" s="75"/>
      <x:c r="J148" s="68"/>
      <x:c r="K148" s="74"/>
    </x:row>
    <x:row r="149" ht="20" customHeight="1">
      <x:c r="A149" s="37" t="str">
        <x:v>count</x:v>
      </x:c>
      <x:c r="B149" s="21" t="str"/>
      <x:c r="C149" s="38" t="str">
        <x:v>down 倒计时（固定搭配）</x:v>
      </x:c>
      <x:c r="D149" s="68"/>
      <x:c r="E149" s="37" t="str">
        <x:v>crazy</x:v>
      </x:c>
      <x:c r="F149" s="21" t="str">
        <x:v>/ˈkreɪzi/</x:v>
      </x:c>
      <x:c r="G149" s="38" t="str">
        <x:v>疯狂的；荒唐的</x:v>
      </x:c>
      <x:c r="H149" s="68"/>
      <x:c r="I149" s="75"/>
      <x:c r="J149" s="68"/>
      <x:c r="K149" s="74"/>
    </x:row>
    <x:row r="150" ht="20" customHeight="1">
      <x:c r="A150" s="39" t="str">
        <x:v>cover</x:v>
      </x:c>
      <x:c r="B150" s="28" t="str">
        <x:v>/ˈkʌvə(r)/</x:v>
      </x:c>
      <x:c r="C150" s="40" t="str">
        <x:v>盖；盖上</x:v>
      </x:c>
      <x:c r="D150" s="68"/>
      <x:c r="E150" s="39" t="str">
        <x:v>crowded</x:v>
      </x:c>
      <x:c r="F150" s="28" t="str">
        <x:v>/ˈkraʊdɪd/</x:v>
      </x:c>
      <x:c r="G150" s="40" t="str">
        <x:v>拥挤的；人数过多的</x:v>
      </x:c>
      <x:c r="H150" s="68"/>
      <x:c r="I150" s="75"/>
      <x:c r="J150" s="68"/>
      <x:c r="K150" s="74"/>
    </x:row>
    <x:row r="151" ht="20" customHeight="1">
      <x:c r="A151" s="37" t="str">
        <x:v>create</x:v>
      </x:c>
      <x:c r="B151" s="21" t="str">
        <x:v>/kriːˈeɪt/</x:v>
      </x:c>
      <x:c r="C151" s="38" t="str">
        <x:v>创造</x:v>
      </x:c>
      <x:c r="D151" s="68"/>
      <x:c r="E151" s="37" t="str">
        <x:v>cute</x:v>
      </x:c>
      <x:c r="F151" s="21" t="str">
        <x:v>/kjuːt/</x:v>
      </x:c>
      <x:c r="G151" s="38" t="str">
        <x:v>可爱的</x:v>
      </x:c>
      <x:c r="H151" s="68"/>
      <x:c r="I151" s="75"/>
      <x:c r="J151" s="68"/>
      <x:c r="K151" s="74"/>
    </x:row>
    <x:row r="152" ht="17" customHeight="1">
      <x:c r="A152" s="39" t="str">
        <x:v>cross</x:v>
      </x:c>
      <x:c r="B152" s="28" t="str">
        <x:v>/krɒs/</x:v>
      </x:c>
      <x:c r="C152" s="40" t="str">
        <x:v>穿过</x:v>
      </x:c>
      <x:c r="D152" s="68"/>
      <x:c r="E152" s="73" t="str">
        <x:v>副词（3）</x:v>
      </x:c>
      <x:c r="F152" s="68"/>
      <x:c r="G152" s="74"/>
      <x:c r="H152" s="68"/>
      <x:c r="I152" s="75"/>
      <x:c r="J152" s="68"/>
      <x:c r="K152" s="74"/>
    </x:row>
    <x:row r="153" ht="20" customHeight="1">
      <x:c r="A153" s="37" t="str">
        <x:v>cry</x:v>
      </x:c>
      <x:c r="B153" s="21" t="str">
        <x:v>/kraɪ/</x:v>
      </x:c>
      <x:c r="C153" s="38" t="str">
        <x:v>哭；喊叫</x:v>
      </x:c>
      <x:c r="D153" s="68"/>
      <x:c r="E153" s="37" t="str">
        <x:v>certainly</x:v>
      </x:c>
      <x:c r="F153" s="21" t="str">
        <x:v>/ˈsɜːtnli/</x:v>
      </x:c>
      <x:c r="G153" s="38" t="str">
        <x:v>当然；自然；行</x:v>
      </x:c>
      <x:c r="H153" s="68"/>
      <x:c r="I153" s="75"/>
      <x:c r="J153" s="68"/>
      <x:c r="K153" s="74"/>
    </x:row>
    <x:row r="154" ht="20" customHeight="1">
      <x:c r="A154" s="39" t="str">
        <x:v>cut</x:v>
      </x:c>
      <x:c r="B154" s="28" t="str">
        <x:v>/kʌt/</x:v>
      </x:c>
      <x:c r="C154" s="40" t="str">
        <x:v>切；剪（兼作名词）</x:v>
      </x:c>
      <x:c r="D154" s="68"/>
      <x:c r="E154" s="39" t="str">
        <x:v>close</x:v>
      </x:c>
      <x:c r="F154" s="28" t="str">
        <x:v>/kləʊs/</x:v>
      </x:c>
      <x:c r="G154" s="40" t="str">
        <x:v>（距离上）接近地；靠近地（兼作形容词）</x:v>
      </x:c>
      <x:c r="H154" s="68"/>
      <x:c r="I154" s="75"/>
      <x:c r="J154" s="68"/>
      <x:c r="K154" s="74"/>
    </x:row>
    <x:row r="155" ht="20" customHeight="1">
      <x:c r="A155" s="73" t="str">
        <x:v>形容词（20）</x:v>
      </x:c>
      <x:c r="B155" s="68"/>
      <x:c r="C155" s="74"/>
      <x:c r="D155" s="68"/>
      <x:c r="E155" s="37" t="str">
        <x:v>close</x:v>
      </x:c>
      <x:c r="F155" s="21" t="str"/>
      <x:c r="G155" s="38" t="str">
        <x:v>down （永久）关闭；关停（短语副词用法）</x:v>
      </x:c>
      <x:c r="H155" s="68"/>
      <x:c r="I155" s="75"/>
      <x:c r="J155" s="68"/>
      <x:c r="K155" s="74"/>
    </x:row>
    <x:row r="156" ht="17" customHeight="1">
      <x:c r="A156" s="39" t="str">
        <x:v>calm</x:v>
      </x:c>
      <x:c r="B156" s="28" t="str">
        <x:v>/kɑːm/</x:v>
      </x:c>
      <x:c r="C156" s="40" t="str">
        <x:v>镇静的；沉着的</x:v>
      </x:c>
      <x:c r="D156" s="68"/>
      <x:c r="E156" s="73" t="str">
        <x:v>情态动词（2）</x:v>
      </x:c>
      <x:c r="F156" s="68"/>
      <x:c r="G156" s="74"/>
      <x:c r="H156" s="68"/>
      <x:c r="I156" s="75"/>
      <x:c r="J156" s="68"/>
      <x:c r="K156" s="74"/>
    </x:row>
    <x:row r="157" ht="20" customHeight="1">
      <x:c r="A157" s="37" t="str">
        <x:v>careful</x:v>
      </x:c>
      <x:c r="B157" s="21" t="str">
        <x:v>/ˈkeəfl/</x:v>
      </x:c>
      <x:c r="C157" s="38" t="str">
        <x:v>仔细的；认真的；小心的</x:v>
      </x:c>
      <x:c r="D157" s="68"/>
      <x:c r="E157" s="37" t="str">
        <x:v>can</x:v>
      </x:c>
      <x:c r="F157" s="21" t="str">
        <x:v>/kæn; kən/</x:v>
      </x:c>
      <x:c r="G157" s="38" t="str">
        <x:v>能；能够</x:v>
      </x:c>
      <x:c r="H157" s="68"/>
      <x:c r="I157" s="75"/>
      <x:c r="J157" s="68"/>
      <x:c r="K157" s="74"/>
    </x:row>
    <x:row r="158" ht="20" customHeight="1">
      <x:c r="A158" s="39" t="str">
        <x:v>certain</x:v>
      </x:c>
      <x:c r="B158" s="28" t="str">
        <x:v>/ˈsɜːtn/</x:v>
      </x:c>
      <x:c r="C158" s="40" t="str">
        <x:v>确定的；无疑的</x:v>
      </x:c>
      <x:c r="D158" s="68"/>
      <x:c r="E158" s="39" t="str">
        <x:v>can't</x:v>
      </x:c>
      <x:c r="F158" s="28" t="str"/>
      <x:c r="G158" s="40" t="str">
        <x:v>cannot 不能</x:v>
      </x:c>
      <x:c r="H158" s="68"/>
      <x:c r="I158" s="75"/>
      <x:c r="J158" s="68"/>
      <x:c r="K158" s="74"/>
    </x:row>
    <x:row r="159" ht="17" customHeight="1">
      <x:c r="A159" s="37" t="str">
        <x:v>cheap</x:v>
      </x:c>
      <x:c r="B159" s="21" t="str">
        <x:v>/tʃiːp/</x:v>
      </x:c>
      <x:c r="C159" s="38" t="str">
        <x:v>便宜的</x:v>
      </x:c>
      <x:c r="D159" s="68"/>
      <x:c r="E159" s="73" t="str">
        <x:v>短语（9）</x:v>
      </x:c>
      <x:c r="F159" s="68"/>
      <x:c r="G159" s="74"/>
      <x:c r="H159" s="68"/>
      <x:c r="I159" s="75"/>
      <x:c r="J159" s="68"/>
      <x:c r="K159" s="74"/>
    </x:row>
    <x:row r="160" ht="20" customHeight="1">
      <x:c r="A160" s="39" t="str">
        <x:v>cheerful</x:v>
      </x:c>
      <x:c r="B160" s="28" t="str">
        <x:v>/ˈtʃɪəfl/</x:v>
      </x:c>
      <x:c r="C160" s="40" t="str">
        <x:v>快乐的；高兴的</x:v>
      </x:c>
      <x:c r="D160" s="68"/>
      <x:c r="E160" s="39" t="str">
        <x:v>be</x:v>
      </x:c>
      <x:c r="F160" s="28" t="str"/>
      <x:c r="G160" s="40" t="str">
        <x:v>careful with 小心对待……</x:v>
      </x:c>
      <x:c r="H160" s="68"/>
      <x:c r="I160" s="75"/>
      <x:c r="J160" s="68"/>
      <x:c r="K160" s="74"/>
    </x:row>
    <x:row r="161" ht="20" customHeight="1">
      <x:c r="A161" s="41" t="str">
        <x:v>Chinese</x:v>
      </x:c>
      <x:c r="B161" s="42" t="str">
        <x:v>/ˌtʃaɪˈniːz/</x:v>
      </x:c>
      <x:c r="C161" s="43" t="str">
        <x:v>中国的；中国人的</x:v>
      </x:c>
      <x:c r="D161" s="68"/>
      <x:c r="E161" s="41" t="str">
        <x:v>can't</x:v>
      </x:c>
      <x:c r="F161" s="42" t="str"/>
      <x:c r="G161" s="43" t="str">
        <x:v>help doing sth. 忍不住做某事</x:v>
      </x:c>
      <x:c r="H161" s="68"/>
      <x:c r="I161" s="76"/>
      <x:c r="J161" s="77"/>
      <x:c r="K161" s="78"/>
    </x:row>
    <x:row r="162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</x:row>
    <x:row r="163" ht="27" customHeight="1">
      <x:c r="A163" s="65" t="str">
        <x:v>D 开头单词</x:v>
      </x:c>
      <x:c r="B163" s="66"/>
      <x:c r="C163" s="67"/>
      <x:c r="D163" s="68"/>
      <x:c r="E163" s="69"/>
      <x:c r="F163" s="66"/>
      <x:c r="G163" s="67"/>
      <x:c r="H163" s="68"/>
      <x:c r="I163" s="69"/>
      <x:c r="J163" s="66"/>
      <x:c r="K163" s="67"/>
    </x:row>
    <x:row r="164" ht="19" customHeight="1">
      <x:c r="A164" s="70" t="str">
        <x:v>英文单词 / 短语</x:v>
      </x:c>
      <x:c r="B164" s="71" t="str">
        <x:v>音标</x:v>
      </x:c>
      <x:c r="C164" s="72" t="str">
        <x:v>中文解释</x:v>
      </x:c>
      <x:c r="D164" s="68"/>
      <x:c r="E164" s="70" t="str">
        <x:v>英文单词 / 短语</x:v>
      </x:c>
      <x:c r="F164" s="71" t="str">
        <x:v>音标</x:v>
      </x:c>
      <x:c r="G164" s="72" t="str">
        <x:v>中文解释</x:v>
      </x:c>
      <x:c r="H164" s="68"/>
      <x:c r="I164" s="70" t="str">
        <x:v>英文单词 / 短语</x:v>
      </x:c>
      <x:c r="J164" s="71" t="str">
        <x:v>音标</x:v>
      </x:c>
      <x:c r="K164" s="72" t="str">
        <x:v>中文解释</x:v>
      </x:c>
    </x:row>
    <x:row r="165" ht="20" customHeight="1">
      <x:c r="A165" s="73" t="str">
        <x:v>名词（26）</x:v>
      </x:c>
      <x:c r="B165" s="68"/>
      <x:c r="C165" s="74"/>
      <x:c r="D165" s="68"/>
      <x:c r="E165" s="39" t="str">
        <x:v>drum</x:v>
      </x:c>
      <x:c r="F165" s="28" t="str">
        <x:v>/drʌm/</x:v>
      </x:c>
      <x:c r="G165" s="40" t="str">
        <x:v>鼓</x:v>
      </x:c>
      <x:c r="H165" s="68"/>
      <x:c r="I165" s="39" t="str">
        <x:v>difficult</x:v>
      </x:c>
      <x:c r="J165" s="28" t="str">
        <x:v>/ˈdɪfɪkəlt/</x:v>
      </x:c>
      <x:c r="K165" s="40" t="str">
        <x:v>困难的；难懂的；难对付的</x:v>
      </x:c>
    </x:row>
    <x:row r="166" ht="20" customHeight="1">
      <x:c r="A166" s="37" t="str">
        <x:v>daily</x:v>
      </x:c>
      <x:c r="B166" s="21" t="str">
        <x:v>/ˈdeɪli/</x:v>
      </x:c>
      <x:c r="C166" s="38" t="str">
        <x:v>日常；（daily life 日常生活）</x:v>
      </x:c>
      <x:c r="D166" s="68"/>
      <x:c r="E166" s="37" t="str">
        <x:v>duck</x:v>
      </x:c>
      <x:c r="F166" s="21" t="str">
        <x:v>/dʌk/</x:v>
      </x:c>
      <x:c r="G166" s="38" t="str">
        <x:v>鸭</x:v>
      </x:c>
      <x:c r="H166" s="68"/>
      <x:c r="I166" s="37" t="str">
        <x:v>direct</x:v>
      </x:c>
      <x:c r="J166" s="21" t="str">
        <x:v>/dəˈrekt/</x:v>
      </x:c>
      <x:c r="K166" s="38" t="str">
        <x:v>直接的</x:v>
      </x:c>
    </x:row>
    <x:row r="167" ht="20" customHeight="1">
      <x:c r="A167" s="39" t="str">
        <x:v>dance</x:v>
      </x:c>
      <x:c r="B167" s="28" t="str">
        <x:v>/dɑːns/</x:v>
      </x:c>
      <x:c r="C167" s="40" t="str">
        <x:v>舞曲；舞蹈</x:v>
      </x:c>
      <x:c r="D167" s="68"/>
      <x:c r="E167" s="39" t="str">
        <x:v>dumpling</x:v>
      </x:c>
      <x:c r="F167" s="28" t="str">
        <x:v>/ˈdʌmplɪŋ/</x:v>
      </x:c>
      <x:c r="G167" s="40" t="str">
        <x:v>饺子；团子</x:v>
      </x:c>
      <x:c r="H167" s="68"/>
      <x:c r="I167" s="39" t="str">
        <x:v>dirty</x:v>
      </x:c>
      <x:c r="J167" s="28" t="str">
        <x:v>/ˈdɜːti/</x:v>
      </x:c>
      <x:c r="K167" s="40" t="str">
        <x:v>脏的</x:v>
      </x:c>
    </x:row>
    <x:row r="168" ht="20" customHeight="1">
      <x:c r="A168" s="37" t="str">
        <x:v>danger</x:v>
      </x:c>
      <x:c r="B168" s="21" t="str">
        <x:v>/ˈdeɪndʒə(r)/</x:v>
      </x:c>
      <x:c r="C168" s="38" t="str">
        <x:v>危险；危害</x:v>
      </x:c>
      <x:c r="D168" s="68"/>
      <x:c r="E168" s="73" t="str">
        <x:v>动词（14）</x:v>
      </x:c>
      <x:c r="F168" s="68"/>
      <x:c r="G168" s="74"/>
      <x:c r="H168" s="68"/>
      <x:c r="I168" s="37" t="str">
        <x:v>double</x:v>
      </x:c>
      <x:c r="J168" s="21" t="str">
        <x:v>/ˈdʌbl/</x:v>
      </x:c>
      <x:c r="K168" s="38" t="str">
        <x:v>双倍的</x:v>
      </x:c>
    </x:row>
    <x:row r="169" ht="20" customHeight="1">
      <x:c r="A169" s="39" t="str">
        <x:v>date</x:v>
      </x:c>
      <x:c r="B169" s="28" t="str">
        <x:v>/deɪt/</x:v>
      </x:c>
      <x:c r="C169" s="40" t="str">
        <x:v>日期</x:v>
      </x:c>
      <x:c r="D169" s="68"/>
      <x:c r="E169" s="39" t="str">
        <x:v>dance</x:v>
      </x:c>
      <x:c r="F169" s="28" t="str">
        <x:v>/dɑːns/</x:v>
      </x:c>
      <x:c r="G169" s="40" t="str">
        <x:v>跳舞</x:v>
      </x:c>
      <x:c r="H169" s="68"/>
      <x:c r="I169" s="39" t="str">
        <x:v>dry</x:v>
      </x:c>
      <x:c r="J169" s="28" t="str">
        <x:v>/draɪ/</x:v>
      </x:c>
      <x:c r="K169" s="40" t="str">
        <x:v>干的；干燥的</x:v>
      </x:c>
    </x:row>
    <x:row r="170" ht="20" customHeight="1">
      <x:c r="A170" s="37" t="str">
        <x:v>daughter</x:v>
      </x:c>
      <x:c r="B170" s="21" t="str">
        <x:v>/ˈdɔːtə(r)/</x:v>
      </x:c>
      <x:c r="C170" s="38" t="str">
        <x:v>女儿</x:v>
      </x:c>
      <x:c r="D170" s="68"/>
      <x:c r="E170" s="37" t="str">
        <x:v>decide</x:v>
      </x:c>
      <x:c r="F170" s="21" t="str">
        <x:v>/dɪˈsaɪd/</x:v>
      </x:c>
      <x:c r="G170" s="38" t="str">
        <x:v>决定</x:v>
      </x:c>
      <x:c r="H170" s="68"/>
      <x:c r="I170" s="37" t="str">
        <x:v>dangerous</x:v>
      </x:c>
      <x:c r="J170" s="21" t="str">
        <x:v>/ˈdeɪndʒərəs/</x:v>
      </x:c>
      <x:c r="K170" s="38" t="str">
        <x:v>危险的</x:v>
      </x:c>
    </x:row>
    <x:row r="171" ht="17" customHeight="1">
      <x:c r="A171" s="39" t="str">
        <x:v>day</x:v>
      </x:c>
      <x:c r="B171" s="28" t="str">
        <x:v>/deɪ/</x:v>
      </x:c>
      <x:c r="C171" s="40" t="str">
        <x:v>一天</x:v>
      </x:c>
      <x:c r="D171" s="68"/>
      <x:c r="E171" s="39" t="str">
        <x:v>depend</x:v>
      </x:c>
      <x:c r="F171" s="28" t="str">
        <x:v>/dɪˈpend/</x:v>
      </x:c>
      <x:c r="G171" s="40" t="str">
        <x:v>视……而定；决定（于）</x:v>
      </x:c>
      <x:c r="H171" s="68"/>
      <x:c r="I171" s="73" t="str">
        <x:v>副词（2）</x:v>
      </x:c>
      <x:c r="J171" s="68"/>
      <x:c r="K171" s="74"/>
    </x:row>
    <x:row r="172" ht="20" customHeight="1">
      <x:c r="A172" s="37" t="str">
        <x:v>December</x:v>
      </x:c>
      <x:c r="B172" s="21" t="str">
        <x:v>/dɪˈsembə(r)/</x:v>
      </x:c>
      <x:c r="C172" s="38" t="str">
        <x:v>12月</x:v>
      </x:c>
      <x:c r="D172" s="68"/>
      <x:c r="E172" s="37" t="str">
        <x:v>describe</x:v>
      </x:c>
      <x:c r="F172" s="21" t="str">
        <x:v>/dɪˈskraɪb/</x:v>
      </x:c>
      <x:c r="G172" s="38" t="str">
        <x:v>描述；描写</x:v>
      </x:c>
      <x:c r="H172" s="68"/>
      <x:c r="I172" s="37" t="str">
        <x:v>daily</x:v>
      </x:c>
      <x:c r="J172" s="21" t="str">
        <x:v>/ˈdeɪli/</x:v>
      </x:c>
      <x:c r="K172" s="38" t="str">
        <x:v>日常地</x:v>
      </x:c>
    </x:row>
    <x:row r="173" ht="20" customHeight="1">
      <x:c r="A173" s="39" t="str">
        <x:v>decision</x:v>
      </x:c>
      <x:c r="B173" s="28" t="str">
        <x:v>/dɪˈsɪʒn/</x:v>
      </x:c>
      <x:c r="C173" s="40" t="str">
        <x:v>决定</x:v>
      </x:c>
      <x:c r="D173" s="68"/>
      <x:c r="E173" s="39" t="str">
        <x:v>develop</x:v>
      </x:c>
      <x:c r="F173" s="28" t="str">
        <x:v>/dɪˈveləp/</x:v>
      </x:c>
      <x:c r="G173" s="40" t="str">
        <x:v>研制；制定；发展</x:v>
      </x:c>
      <x:c r="H173" s="68"/>
      <x:c r="I173" s="39" t="str">
        <x:v>down</x:v>
      </x:c>
      <x:c r="J173" s="28" t="str">
        <x:v>/daʊn/</x:v>
      </x:c>
      <x:c r="K173" s="40" t="str">
        <x:v>向下；朝下</x:v>
      </x:c>
    </x:row>
    <x:row r="174" ht="17" customHeight="1">
      <x:c r="A174" s="37" t="str">
        <x:v>degree</x:v>
      </x:c>
      <x:c r="B174" s="21" t="str">
        <x:v>/dɪˈɡriː/</x:v>
      </x:c>
      <x:c r="C174" s="38" t="str">
        <x:v>度；度数</x:v>
      </x:c>
      <x:c r="D174" s="68"/>
      <x:c r="E174" s="37" t="str">
        <x:v>die</x:v>
      </x:c>
      <x:c r="F174" s="21" t="str">
        <x:v>/daɪ/</x:v>
      </x:c>
      <x:c r="G174" s="38" t="str">
        <x:v>死；去世</x:v>
      </x:c>
      <x:c r="H174" s="68"/>
      <x:c r="I174" s="73" t="str">
        <x:v>介词（2）</x:v>
      </x:c>
      <x:c r="J174" s="68"/>
      <x:c r="K174" s="74"/>
    </x:row>
    <x:row r="175" ht="20" customHeight="1">
      <x:c r="A175" s="39" t="str">
        <x:v>desk</x:v>
      </x:c>
      <x:c r="B175" s="28" t="str">
        <x:v>/desk/</x:v>
      </x:c>
      <x:c r="C175" s="40" t="str">
        <x:v>桌子</x:v>
      </x:c>
      <x:c r="D175" s="68"/>
      <x:c r="E175" s="39" t="str">
        <x:v>dig</x:v>
      </x:c>
      <x:c r="F175" s="28" t="str">
        <x:v>/dɪɡ/</x:v>
      </x:c>
      <x:c r="G175" s="40" t="str">
        <x:v>挖；掘</x:v>
      </x:c>
      <x:c r="H175" s="68"/>
      <x:c r="I175" s="39" t="str">
        <x:v>during</x:v>
      </x:c>
      <x:c r="J175" s="28" t="str">
        <x:v>/ˈdjʊərɪŋ/</x:v>
      </x:c>
      <x:c r="K175" s="40" t="str">
        <x:v>在……期间</x:v>
      </x:c>
    </x:row>
    <x:row r="176" ht="20" customHeight="1">
      <x:c r="A176" s="37" t="str">
        <x:v>development</x:v>
      </x:c>
      <x:c r="B176" s="21" t="str">
        <x:v>/dɪˈveləpmənt/</x:v>
      </x:c>
      <x:c r="C176" s="38" t="str">
        <x:v>发展</x:v>
      </x:c>
      <x:c r="D176" s="68"/>
      <x:c r="E176" s="37" t="str">
        <x:v>discover</x:v>
      </x:c>
      <x:c r="F176" s="21" t="str">
        <x:v>/dɪˈskʌvə(r)/</x:v>
      </x:c>
      <x:c r="G176" s="38" t="str">
        <x:v>发现；找到</x:v>
      </x:c>
      <x:c r="H176" s="68"/>
      <x:c r="I176" s="37" t="str">
        <x:v>down</x:v>
      </x:c>
      <x:c r="J176" s="21" t="str">
        <x:v>/daʊn/</x:v>
      </x:c>
      <x:c r="K176" s="38" t="str">
        <x:v>沿着；顺着</x:v>
      </x:c>
    </x:row>
    <x:row r="177" ht="17" customHeight="1">
      <x:c r="A177" s="39" t="str">
        <x:v>difference</x:v>
      </x:c>
      <x:c r="B177" s="28" t="str">
        <x:v>/ˈdɪfrəns/</x:v>
      </x:c>
      <x:c r="C177" s="40" t="str">
        <x:v>差别；差异</x:v>
      </x:c>
      <x:c r="D177" s="68"/>
      <x:c r="E177" s="39" t="str">
        <x:v>do</x:v>
      </x:c>
      <x:c r="F177" s="28" t="str">
        <x:v>/duː/</x:v>
      </x:c>
      <x:c r="G177" s="40" t="str">
        <x:v>做；干</x:v>
      </x:c>
      <x:c r="H177" s="68"/>
      <x:c r="I177" s="73" t="str">
        <x:v>短语（4）</x:v>
      </x:c>
      <x:c r="J177" s="68"/>
      <x:c r="K177" s="74"/>
    </x:row>
    <x:row r="178" ht="20" customHeight="1">
      <x:c r="A178" s="37" t="str">
        <x:v>dinner</x:v>
      </x:c>
      <x:c r="B178" s="21" t="str">
        <x:v>/ˈdɪnə(r)/</x:v>
      </x:c>
      <x:c r="C178" s="38" t="str">
        <x:v>晚饭；正餐</x:v>
      </x:c>
      <x:c r="D178" s="68"/>
      <x:c r="E178" s="37" t="str">
        <x:v>draw</x:v>
      </x:c>
      <x:c r="F178" s="21" t="str">
        <x:v>/drɔː/</x:v>
      </x:c>
      <x:c r="G178" s="38" t="str">
        <x:v>绘画；画</x:v>
      </x:c>
      <x:c r="H178" s="68"/>
      <x:c r="I178" s="37" t="str">
        <x:v>day</x:v>
      </x:c>
      <x:c r="J178" s="21" t="str"/>
      <x:c r="K178" s="38" t="str">
        <x:v>by day 一天天地；渐渐地</x:v>
      </x:c>
    </x:row>
    <x:row r="179" ht="20" customHeight="1">
      <x:c r="A179" s="39" t="str">
        <x:v>director</x:v>
      </x:c>
      <x:c r="B179" s="28" t="str">
        <x:v>/dəˈrektə(r)/</x:v>
      </x:c>
      <x:c r="C179" s="40" t="str">
        <x:v>导演；主管；经理</x:v>
      </x:c>
      <x:c r="D179" s="68"/>
      <x:c r="E179" s="39" t="str">
        <x:v>dream</x:v>
      </x:c>
      <x:c r="F179" s="28" t="str">
        <x:v>/driːm/</x:v>
      </x:c>
      <x:c r="G179" s="40" t="str">
        <x:v>(dreamed/dreamt) 做梦；梦到；梦想</x:v>
      </x:c>
      <x:c r="H179" s="68"/>
      <x:c r="I179" s="39" t="str">
        <x:v>depend</x:v>
      </x:c>
      <x:c r="J179" s="28" t="str"/>
      <x:c r="K179" s="40" t="str">
        <x:v>on 取决于；决定于</x:v>
      </x:c>
    </x:row>
    <x:row r="180" ht="20" customHeight="1">
      <x:c r="A180" s="37" t="str">
        <x:v>document</x:v>
      </x:c>
      <x:c r="B180" s="21" t="str">
        <x:v>/ˈdɒkjumənt/</x:v>
      </x:c>
      <x:c r="C180" s="38" t="str">
        <x:v>文件</x:v>
      </x:c>
      <x:c r="D180" s="68"/>
      <x:c r="E180" s="37" t="str">
        <x:v>drink</x:v>
      </x:c>
      <x:c r="F180" s="21" t="str">
        <x:v>/drɪŋk/</x:v>
      </x:c>
      <x:c r="G180" s="38" t="str">
        <x:v>喝；饮</x:v>
      </x:c>
      <x:c r="H180" s="68"/>
      <x:c r="I180" s="37" t="str">
        <x:v>have</x:v>
      </x:c>
      <x:c r="J180" s="21" t="str"/>
      <x:c r="K180" s="38" t="str">
        <x:v>dinner 吃晚饭；吃正餐</x:v>
      </x:c>
    </x:row>
    <x:row r="181" ht="20" customHeight="1">
      <x:c r="A181" s="39" t="str">
        <x:v>dog</x:v>
      </x:c>
      <x:c r="B181" s="28" t="str">
        <x:v>/dɒɡ/</x:v>
      </x:c>
      <x:c r="C181" s="40" t="str">
        <x:v>狗</x:v>
      </x:c>
      <x:c r="D181" s="68"/>
      <x:c r="E181" s="39" t="str">
        <x:v>drive</x:v>
      </x:c>
      <x:c r="F181" s="28" t="str">
        <x:v>/draɪv/</x:v>
      </x:c>
      <x:c r="G181" s="40" t="str">
        <x:v>驾驶；驾车</x:v>
      </x:c>
      <x:c r="H181" s="68"/>
      <x:c r="I181" s="39" t="str">
        <x:v>in</x:v>
      </x:c>
      <x:c r="J181" s="28" t="str"/>
      <x:c r="K181" s="40" t="str">
        <x:v>danger 处于危险中</x:v>
      </x:c>
    </x:row>
    <x:row r="182" ht="20" customHeight="1">
      <x:c r="A182" s="37" t="str">
        <x:v>dollar</x:v>
      </x:c>
      <x:c r="B182" s="21" t="str">
        <x:v>/ˈdɒlə(r)/</x:v>
      </x:c>
      <x:c r="C182" s="38" t="str">
        <x:v>元（美国、加拿大、澳大利亚等国的货币单位）</x:v>
      </x:c>
      <x:c r="D182" s="68"/>
      <x:c r="E182" s="37" t="str">
        <x:v>drop</x:v>
      </x:c>
      <x:c r="F182" s="21" t="str">
        <x:v>/drɒp/</x:v>
      </x:c>
      <x:c r="G182" s="38" t="str">
        <x:v>使落下；投下</x:v>
      </x:c>
      <x:c r="H182" s="68"/>
      <x:c r="I182" s="75"/>
      <x:c r="J182" s="68"/>
      <x:c r="K182" s="74"/>
    </x:row>
    <x:row r="183" ht="17" customHeight="1">
      <x:c r="A183" s="39" t="str">
        <x:v>door</x:v>
      </x:c>
      <x:c r="B183" s="28" t="str">
        <x:v>/dɔː(r)/</x:v>
      </x:c>
      <x:c r="C183" s="40" t="str">
        <x:v>门</x:v>
      </x:c>
      <x:c r="D183" s="68"/>
      <x:c r="E183" s="73" t="str">
        <x:v>形容词（11）</x:v>
      </x:c>
      <x:c r="F183" s="68"/>
      <x:c r="G183" s="74"/>
      <x:c r="H183" s="68"/>
      <x:c r="I183" s="75"/>
      <x:c r="J183" s="68"/>
      <x:c r="K183" s="74"/>
    </x:row>
    <x:row r="184" ht="20" customHeight="1">
      <x:c r="A184" s="37" t="str">
        <x:v>dragon</x:v>
      </x:c>
      <x:c r="B184" s="21" t="str">
        <x:v>/ˈdræɡən/</x:v>
      </x:c>
      <x:c r="C184" s="38" t="str">
        <x:v>龙</x:v>
      </x:c>
      <x:c r="D184" s="68"/>
      <x:c r="E184" s="37" t="str">
        <x:v>daily</x:v>
      </x:c>
      <x:c r="F184" s="21" t="str">
        <x:v>/ˈdeɪli/</x:v>
      </x:c>
      <x:c r="G184" s="38" t="str">
        <x:v>每天的；天天的</x:v>
      </x:c>
      <x:c r="H184" s="68"/>
      <x:c r="I184" s="75"/>
      <x:c r="J184" s="68"/>
      <x:c r="K184" s="74"/>
    </x:row>
    <x:row r="185" ht="20" customHeight="1">
      <x:c r="A185" s="39" t="str">
        <x:v>dream</x:v>
      </x:c>
      <x:c r="B185" s="28" t="str">
        <x:v>/driːm/</x:v>
      </x:c>
      <x:c r="C185" s="40" t="str">
        <x:v>梦；梦想</x:v>
      </x:c>
      <x:c r="D185" s="68"/>
      <x:c r="E185" s="39" t="str">
        <x:v>dark</x:v>
      </x:c>
      <x:c r="F185" s="28" t="str">
        <x:v>/dɑːk/</x:v>
      </x:c>
      <x:c r="G185" s="40" t="str">
        <x:v>黑暗的</x:v>
      </x:c>
      <x:c r="H185" s="68"/>
      <x:c r="I185" s="75"/>
      <x:c r="J185" s="68"/>
      <x:c r="K185" s="74"/>
    </x:row>
    <x:row r="186" ht="20" customHeight="1">
      <x:c r="A186" s="37" t="str">
        <x:v>dress</x:v>
      </x:c>
      <x:c r="B186" s="21" t="str">
        <x:v>/dres/</x:v>
      </x:c>
      <x:c r="C186" s="38" t="str">
        <x:v>连衣裙；礼服</x:v>
      </x:c>
      <x:c r="D186" s="68"/>
      <x:c r="E186" s="37" t="str">
        <x:v>dead</x:v>
      </x:c>
      <x:c r="F186" s="21" t="str">
        <x:v>/ded/</x:v>
      </x:c>
      <x:c r="G186" s="38" t="str">
        <x:v>死的</x:v>
      </x:c>
      <x:c r="H186" s="68"/>
      <x:c r="I186" s="75"/>
      <x:c r="J186" s="68"/>
      <x:c r="K186" s="74"/>
    </x:row>
    <x:row r="187" ht="20" customHeight="1">
      <x:c r="A187" s="39" t="str">
        <x:v>drink</x:v>
      </x:c>
      <x:c r="B187" s="28" t="str">
        <x:v>/drɪŋk/</x:v>
      </x:c>
      <x:c r="C187" s="40" t="str">
        <x:v>饮料</x:v>
      </x:c>
      <x:c r="D187" s="68"/>
      <x:c r="E187" s="39" t="str">
        <x:v>delicious</x:v>
      </x:c>
      <x:c r="F187" s="28" t="str">
        <x:v>/dɪˈlɪʃəs/</x:v>
      </x:c>
      <x:c r="G187" s="40" t="str">
        <x:v>美味的</x:v>
      </x:c>
      <x:c r="H187" s="68"/>
      <x:c r="I187" s="75"/>
      <x:c r="J187" s="68"/>
      <x:c r="K187" s="74"/>
    </x:row>
    <x:row r="188" ht="20" customHeight="1">
      <x:c r="A188" s="41" t="str">
        <x:v>driver</x:v>
      </x:c>
      <x:c r="B188" s="42" t="str">
        <x:v>/ˈdraɪvə(r)/</x:v>
      </x:c>
      <x:c r="C188" s="43" t="str">
        <x:v>司机；驾驶员</x:v>
      </x:c>
      <x:c r="D188" s="68"/>
      <x:c r="E188" s="41" t="str">
        <x:v>different</x:v>
      </x:c>
      <x:c r="F188" s="42" t="str">
        <x:v>/ˈdɪfrənt/</x:v>
      </x:c>
      <x:c r="G188" s="43" t="str">
        <x:v>不同的</x:v>
      </x:c>
      <x:c r="H188" s="68"/>
      <x:c r="I188" s="76"/>
      <x:c r="J188" s="77"/>
      <x:c r="K188" s="78"/>
    </x:row>
    <x:row r="189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</x:row>
    <x:row r="190" ht="27" customHeight="1">
      <x:c r="A190" s="65" t="str">
        <x:v>E 开头单词</x:v>
      </x:c>
      <x:c r="B190" s="66"/>
      <x:c r="C190" s="67"/>
      <x:c r="D190" s="68"/>
      <x:c r="E190" s="69"/>
      <x:c r="F190" s="66"/>
      <x:c r="G190" s="67"/>
      <x:c r="H190" s="68"/>
      <x:c r="I190" s="69"/>
      <x:c r="J190" s="66"/>
      <x:c r="K190" s="67"/>
    </x:row>
    <x:row r="191" ht="19" customHeight="1">
      <x:c r="A191" s="70" t="str">
        <x:v>英文单词 / 短语</x:v>
      </x:c>
      <x:c r="B191" s="71" t="str">
        <x:v>音标</x:v>
      </x:c>
      <x:c r="C191" s="72" t="str">
        <x:v>中文解释</x:v>
      </x:c>
      <x:c r="D191" s="68"/>
      <x:c r="E191" s="70" t="str">
        <x:v>英文单词 / 短语</x:v>
      </x:c>
      <x:c r="F191" s="71" t="str">
        <x:v>音标</x:v>
      </x:c>
      <x:c r="G191" s="72" t="str">
        <x:v>中文解释</x:v>
      </x:c>
      <x:c r="H191" s="68"/>
      <x:c r="I191" s="70" t="str">
        <x:v>英文单词 / 短语</x:v>
      </x:c>
      <x:c r="J191" s="71" t="str">
        <x:v>音标</x:v>
      </x:c>
      <x:c r="K191" s="72" t="str">
        <x:v>中文解释</x:v>
      </x:c>
    </x:row>
    <x:row r="192" ht="20" customHeight="1">
      <x:c r="A192" s="73" t="str">
        <x:v>名词（17）</x:v>
      </x:c>
      <x:c r="B192" s="68"/>
      <x:c r="C192" s="74"/>
      <x:c r="D192" s="68"/>
      <x:c r="E192" s="39" t="str">
        <x:v>enter</x:v>
      </x:c>
      <x:c r="F192" s="28" t="str">
        <x:v>/ˈentə(r)/</x:v>
      </x:c>
      <x:c r="G192" s="40" t="str">
        <x:v>进入</x:v>
      </x:c>
      <x:c r="H192" s="68"/>
      <x:c r="I192" s="39" t="str">
        <x:v>ever</x:v>
      </x:c>
      <x:c r="J192" s="28" t="str">
        <x:v>/ˈevə(r)/</x:v>
      </x:c>
      <x:c r="K192" s="40" t="str">
        <x:v>曾经；从来；在任何时候</x:v>
      </x:c>
    </x:row>
    <x:row r="193" ht="17" customHeight="1">
      <x:c r="A193" s="37" t="str">
        <x:v>ear</x:v>
      </x:c>
      <x:c r="B193" s="21" t="str">
        <x:v>/ɪə(r)/</x:v>
      </x:c>
      <x:c r="C193" s="38" t="str">
        <x:v>耳朵</x:v>
      </x:c>
      <x:c r="D193" s="68"/>
      <x:c r="E193" s="37" t="str">
        <x:v>explain</x:v>
      </x:c>
      <x:c r="F193" s="21" t="str">
        <x:v>/ɪkˈspleɪn/</x:v>
      </x:c>
      <x:c r="G193" s="38" t="str">
        <x:v>解释；说明</x:v>
      </x:c>
      <x:c r="H193" s="68"/>
      <x:c r="I193" s="73" t="str">
        <x:v>介词（2）</x:v>
      </x:c>
      <x:c r="J193" s="68"/>
      <x:c r="K193" s="74"/>
    </x:row>
    <x:row r="194" ht="20" customHeight="1">
      <x:c r="A194" s="39" t="str">
        <x:v>earth</x:v>
      </x:c>
      <x:c r="B194" s="28" t="str">
        <x:v>/ɜːθ/</x:v>
      </x:c>
      <x:c r="C194" s="40" t="str">
        <x:v>地球</x:v>
      </x:c>
      <x:c r="D194" s="68"/>
      <x:c r="E194" s="39" t="str">
        <x:v>excite</x:v>
      </x:c>
      <x:c r="F194" s="28" t="str">
        <x:v>/ɪkˈsaɪt/</x:v>
      </x:c>
      <x:c r="G194" s="40" t="str">
        <x:v>使激动；使兴奋</x:v>
      </x:c>
      <x:c r="H194" s="68"/>
      <x:c r="I194" s="39" t="str">
        <x:v>except</x:v>
      </x:c>
      <x:c r="J194" s="28" t="str">
        <x:v>/ɪkˈsept/</x:v>
      </x:c>
      <x:c r="K194" s="40" t="str">
        <x:v>除……之外</x:v>
      </x:c>
    </x:row>
    <x:row r="195" ht="20" customHeight="1">
      <x:c r="A195" s="37" t="str">
        <x:v>east</x:v>
      </x:c>
      <x:c r="B195" s="21" t="str">
        <x:v>/iːst/</x:v>
      </x:c>
      <x:c r="C195" s="38" t="str">
        <x:v>东方</x:v>
      </x:c>
      <x:c r="D195" s="68"/>
      <x:c r="E195" s="37" t="str">
        <x:v>exercise</x:v>
      </x:c>
      <x:c r="F195" s="21" t="str">
        <x:v>/ˈeksəsaɪz/</x:v>
      </x:c>
      <x:c r="G195" s="38" t="str">
        <x:v>锻炼；练习</x:v>
      </x:c>
      <x:c r="H195" s="68"/>
      <x:c r="I195" s="37" t="str">
        <x:v>except</x:v>
      </x:c>
      <x:c r="J195" s="21" t="str"/>
      <x:c r="K195" s="38" t="str">
        <x:v>for 除了</x:v>
      </x:c>
    </x:row>
    <x:row r="196" ht="17" customHeight="1">
      <x:c r="A196" s="39" t="str">
        <x:v>egg</x:v>
      </x:c>
      <x:c r="B196" s="28" t="str">
        <x:v>/eɡ/</x:v>
      </x:c>
      <x:c r="C196" s="40" t="str">
        <x:v>蛋；鸡蛋</x:v>
      </x:c>
      <x:c r="D196" s="68"/>
      <x:c r="E196" s="73" t="str">
        <x:v>形容词（13）</x:v>
      </x:c>
      <x:c r="F196" s="68"/>
      <x:c r="G196" s="74"/>
      <x:c r="H196" s="68"/>
      <x:c r="I196" s="73" t="str">
        <x:v>代词（5）</x:v>
      </x:c>
      <x:c r="J196" s="68"/>
      <x:c r="K196" s="74"/>
    </x:row>
    <x:row r="197" ht="20" customHeight="1">
      <x:c r="A197" s="37" t="str">
        <x:v>elephant</x:v>
      </x:c>
      <x:c r="B197" s="21" t="str">
        <x:v>/ˈelɪfənt/</x:v>
      </x:c>
      <x:c r="C197" s="38" t="str">
        <x:v>大象</x:v>
      </x:c>
      <x:c r="D197" s="68"/>
      <x:c r="E197" s="37" t="str">
        <x:v>early</x:v>
      </x:c>
      <x:c r="F197" s="21" t="str">
        <x:v>/ˈɜːli/</x:v>
      </x:c>
      <x:c r="G197" s="38" t="str">
        <x:v>早的；提早的</x:v>
      </x:c>
      <x:c r="H197" s="68"/>
      <x:c r="I197" s="37" t="str">
        <x:v>each</x:v>
      </x:c>
      <x:c r="J197" s="21" t="str">
        <x:v>/iːtʃ/</x:v>
      </x:c>
      <x:c r="K197" s="38" t="str">
        <x:v>各个；每个</x:v>
      </x:c>
    </x:row>
    <x:row r="198" ht="20" customHeight="1">
      <x:c r="A198" s="39" t="str">
        <x:v>email</x:v>
      </x:c>
      <x:c r="B198" s="28" t="str">
        <x:v>/ˈiːmeɪl/</x:v>
      </x:c>
      <x:c r="C198" s="40" t="str">
        <x:v>电子邮件</x:v>
      </x:c>
      <x:c r="D198" s="68"/>
      <x:c r="E198" s="39" t="str">
        <x:v>east</x:v>
      </x:c>
      <x:c r="F198" s="28" t="str">
        <x:v>/iːst/</x:v>
      </x:c>
      <x:c r="G198" s="40" t="str">
        <x:v>东方的；东部的</x:v>
      </x:c>
      <x:c r="H198" s="68"/>
      <x:c r="I198" s="39" t="str">
        <x:v>either</x:v>
      </x:c>
      <x:c r="J198" s="28" t="str">
        <x:v>/ˈaɪðə(r)/</x:v>
      </x:c>
      <x:c r="K198" s="40" t="str">
        <x:v>两者之一</x:v>
      </x:c>
    </x:row>
    <x:row r="199" ht="20" customHeight="1">
      <x:c r="A199" s="37" t="str">
        <x:v>end</x:v>
      </x:c>
      <x:c r="B199" s="21" t="str">
        <x:v>/end/</x:v>
      </x:c>
      <x:c r="C199" s="38" t="str">
        <x:v>（时间的）最后一段；末尾；结束</x:v>
      </x:c>
      <x:c r="D199" s="68"/>
      <x:c r="E199" s="37" t="str">
        <x:v>easy</x:v>
      </x:c>
      <x:c r="F199" s="21" t="str">
        <x:v>/ˈiːzi/</x:v>
      </x:c>
      <x:c r="G199" s="38" t="str">
        <x:v>容易的</x:v>
      </x:c>
      <x:c r="H199" s="68"/>
      <x:c r="I199" s="37" t="str">
        <x:v>everyone</x:v>
      </x:c>
      <x:c r="J199" s="21" t="str">
        <x:v>/ˈevriwʌn/</x:v>
      </x:c>
      <x:c r="K199" s="38" t="str">
        <x:v>每个人；大家</x:v>
      </x:c>
    </x:row>
    <x:row r="200" ht="20" customHeight="1">
      <x:c r="A200" s="39" t="str">
        <x:v>England</x:v>
      </x:c>
      <x:c r="B200" s="28" t="str">
        <x:v>/ˈɪŋɡlənd/</x:v>
      </x:c>
      <x:c r="C200" s="40" t="str">
        <x:v>英格兰</x:v>
      </x:c>
      <x:c r="D200" s="68"/>
      <x:c r="E200" s="39" t="str">
        <x:v>eastern</x:v>
      </x:c>
      <x:c r="F200" s="28" t="str">
        <x:v>/ˈiːstən/</x:v>
      </x:c>
      <x:c r="G200" s="40" t="str">
        <x:v>东方的</x:v>
      </x:c>
      <x:c r="H200" s="68"/>
      <x:c r="I200" s="39" t="str">
        <x:v>everything</x:v>
      </x:c>
      <x:c r="J200" s="28" t="str">
        <x:v>/ˈevriθɪŋ/</x:v>
      </x:c>
      <x:c r="K200" s="40" t="str">
        <x:v>每样事物；每件事；所有事物</x:v>
      </x:c>
    </x:row>
    <x:row r="201" ht="20" customHeight="1">
      <x:c r="A201" s="37" t="str">
        <x:v>English</x:v>
      </x:c>
      <x:c r="B201" s="21" t="str">
        <x:v>/ˈɪŋɡlɪʃ/</x:v>
      </x:c>
      <x:c r="C201" s="38" t="str">
        <x:v>英语</x:v>
      </x:c>
      <x:c r="D201" s="68"/>
      <x:c r="E201" s="37" t="str">
        <x:v>easy</x:v>
      </x:c>
      <x:c r="F201" s="21" t="str">
        <x:v>/ˈiːzi/</x:v>
      </x:c>
      <x:c r="G201" s="38" t="str">
        <x:v>容易的</x:v>
      </x:c>
      <x:c r="H201" s="68"/>
      <x:c r="I201" s="37" t="str">
        <x:v>everywhere</x:v>
      </x:c>
      <x:c r="J201" s="21" t="str">
        <x:v>/ˈevriweə(r)/</x:v>
      </x:c>
      <x:c r="K201" s="38" t="str">
        <x:v>到处；处处</x:v>
      </x:c>
    </x:row>
    <x:row r="202" ht="17" customHeight="1">
      <x:c r="A202" s="39" t="str">
        <x:v>environment</x:v>
      </x:c>
      <x:c r="B202" s="28" t="str">
        <x:v>/ɪnˈvaɪrənmənt/</x:v>
      </x:c>
      <x:c r="C202" s="40" t="str">
        <x:v>环境</x:v>
      </x:c>
      <x:c r="D202" s="68"/>
      <x:c r="E202" s="39" t="str">
        <x:v>either</x:v>
      </x:c>
      <x:c r="F202" s="28" t="str">
        <x:v>/ˈaɪðə(r)/</x:v>
      </x:c>
      <x:c r="G202" s="40" t="str">
        <x:v>（两者中）任一的</x:v>
      </x:c>
      <x:c r="H202" s="68"/>
      <x:c r="I202" s="73" t="str">
        <x:v>短语（4）</x:v>
      </x:c>
      <x:c r="J202" s="68"/>
      <x:c r="K202" s="74"/>
    </x:row>
    <x:row r="203" ht="20" customHeight="1">
      <x:c r="A203" s="37" t="str">
        <x:v>error</x:v>
      </x:c>
      <x:c r="B203" s="21" t="str">
        <x:v>/ˈerə(r)/</x:v>
      </x:c>
      <x:c r="C203" s="38" t="str">
        <x:v>错误</x:v>
      </x:c>
      <x:c r="D203" s="68"/>
      <x:c r="E203" s="37" t="str">
        <x:v>empty</x:v>
      </x:c>
      <x:c r="F203" s="21" t="str">
        <x:v>/ˈempti/</x:v>
      </x:c>
      <x:c r="G203" s="38" t="str">
        <x:v>空的</x:v>
      </x:c>
      <x:c r="H203" s="68"/>
      <x:c r="I203" s="37" t="str">
        <x:v>each</x:v>
      </x:c>
      <x:c r="J203" s="21" t="str"/>
      <x:c r="K203" s="38" t="str">
        <x:v>other 互相；彼此</x:v>
      </x:c>
    </x:row>
    <x:row r="204" ht="20" customHeight="1">
      <x:c r="A204" s="39" t="str">
        <x:v>Europe</x:v>
      </x:c>
      <x:c r="B204" s="28" t="str">
        <x:v>/ˈjʊərəp/</x:v>
      </x:c>
      <x:c r="C204" s="40" t="str">
        <x:v>欧洲</x:v>
      </x:c>
      <x:c r="D204" s="68"/>
      <x:c r="E204" s="39" t="str">
        <x:v>enough</x:v>
      </x:c>
      <x:c r="F204" s="28" t="str">
        <x:v>/ɪˈnʌf/</x:v>
      </x:c>
      <x:c r="G204" s="40" t="str">
        <x:v>足够的；充分的</x:v>
      </x:c>
      <x:c r="H204" s="68"/>
      <x:c r="I204" s="39" t="str">
        <x:v>enjoy</x:v>
      </x:c>
      <x:c r="J204" s="28" t="str"/>
      <x:c r="K204" s="40" t="str">
        <x:v>oneself 过得愉快</x:v>
      </x:c>
    </x:row>
    <x:row r="205" ht="20" customHeight="1">
      <x:c r="A205" s="37" t="str">
        <x:v>evening</x:v>
      </x:c>
      <x:c r="B205" s="21" t="str">
        <x:v>/ˈiːvnɪŋ/</x:v>
      </x:c>
      <x:c r="C205" s="38" t="str">
        <x:v>晚上</x:v>
      </x:c>
      <x:c r="D205" s="68"/>
      <x:c r="E205" s="37" t="str">
        <x:v>European</x:v>
      </x:c>
      <x:c r="F205" s="21" t="str">
        <x:v>/ˌjʊərəˈpiːən/</x:v>
      </x:c>
      <x:c r="G205" s="38" t="str">
        <x:v>欧洲的</x:v>
      </x:c>
      <x:c r="H205" s="68"/>
      <x:c r="I205" s="37" t="str">
        <x:v>for</x:v>
      </x:c>
      <x:c r="J205" s="21" t="str"/>
      <x:c r="K205" s="38" t="str">
        <x:v>example 例如</x:v>
      </x:c>
    </x:row>
    <x:row r="206" ht="20" customHeight="1">
      <x:c r="A206" s="39" t="str">
        <x:v>event</x:v>
      </x:c>
      <x:c r="B206" s="28" t="str">
        <x:v>/ɪˈvent/</x:v>
      </x:c>
      <x:c r="C206" s="40" t="str">
        <x:v>事件</x:v>
      </x:c>
      <x:c r="D206" s="68"/>
      <x:c r="E206" s="39" t="str">
        <x:v>excellent</x:v>
      </x:c>
      <x:c r="F206" s="28" t="str">
        <x:v>/ˈeksələnt/</x:v>
      </x:c>
      <x:c r="G206" s="40" t="str">
        <x:v>极好的；优秀的</x:v>
      </x:c>
      <x:c r="H206" s="68"/>
      <x:c r="I206" s="39" t="str">
        <x:v>in</x:v>
      </x:c>
      <x:c r="J206" s="28" t="str"/>
      <x:c r="K206" s="40" t="str">
        <x:v>the end 最后；终于</x:v>
      </x:c>
    </x:row>
    <x:row r="207" ht="20" customHeight="1">
      <x:c r="A207" s="37" t="str">
        <x:v>experience</x:v>
      </x:c>
      <x:c r="B207" s="21" t="str">
        <x:v>/ɪkˈspɪəriəns/</x:v>
      </x:c>
      <x:c r="C207" s="38" t="str">
        <x:v>经历；经验</x:v>
      </x:c>
      <x:c r="D207" s="68"/>
      <x:c r="E207" s="37" t="str">
        <x:v>excited</x:v>
      </x:c>
      <x:c r="F207" s="21" t="str">
        <x:v>/ɪkˈsaɪtɪd/</x:v>
      </x:c>
      <x:c r="G207" s="38" t="str">
        <x:v>激动的；兴奋的</x:v>
      </x:c>
      <x:c r="H207" s="68"/>
      <x:c r="I207" s="75"/>
      <x:c r="J207" s="68"/>
      <x:c r="K207" s="74"/>
    </x:row>
    <x:row r="208" ht="20" customHeight="1">
      <x:c r="A208" s="39" t="str">
        <x:v>eye</x:v>
      </x:c>
      <x:c r="B208" s="28" t="str">
        <x:v>/aɪ/</x:v>
      </x:c>
      <x:c r="C208" s="40" t="str">
        <x:v>眼睛</x:v>
      </x:c>
      <x:c r="D208" s="68"/>
      <x:c r="E208" s="39" t="str">
        <x:v>exciting</x:v>
      </x:c>
      <x:c r="F208" s="28" t="str">
        <x:v>/ɪkˈsaɪtɪŋ/</x:v>
      </x:c>
      <x:c r="G208" s="40" t="str">
        <x:v>令人激动的；使人兴奋的</x:v>
      </x:c>
      <x:c r="H208" s="68"/>
      <x:c r="I208" s="75"/>
      <x:c r="J208" s="68"/>
      <x:c r="K208" s="74"/>
    </x:row>
    <x:row r="209" ht="20" customHeight="1">
      <x:c r="A209" s="37" t="str">
        <x:v>exercise</x:v>
      </x:c>
      <x:c r="B209" s="21" t="str">
        <x:v>/ˈeksəsaɪz/</x:v>
      </x:c>
      <x:c r="C209" s="38" t="str">
        <x:v>运动；锻炼；练习</x:v>
      </x:c>
      <x:c r="D209" s="68"/>
      <x:c r="E209" s="37" t="str">
        <x:v>expensive</x:v>
      </x:c>
      <x:c r="F209" s="21" t="str">
        <x:v>/ɪkˈspensɪv/</x:v>
      </x:c>
      <x:c r="G209" s="38" t="str">
        <x:v>昂贵的</x:v>
      </x:c>
      <x:c r="H209" s="68"/>
      <x:c r="I209" s="75"/>
      <x:c r="J209" s="68"/>
      <x:c r="K209" s="74"/>
    </x:row>
    <x:row r="210" ht="17" customHeight="1">
      <x:c r="A210" s="73" t="str">
        <x:v>动词（9）</x:v>
      </x:c>
      <x:c r="B210" s="68"/>
      <x:c r="C210" s="74"/>
      <x:c r="D210" s="68"/>
      <x:c r="E210" s="73" t="str">
        <x:v>副词（6）</x:v>
      </x:c>
      <x:c r="F210" s="68"/>
      <x:c r="G210" s="74"/>
      <x:c r="H210" s="68"/>
      <x:c r="I210" s="75"/>
      <x:c r="J210" s="68"/>
      <x:c r="K210" s="74"/>
    </x:row>
    <x:row r="211" ht="20" customHeight="1">
      <x:c r="A211" s="37" t="str">
        <x:v>eat</x:v>
      </x:c>
      <x:c r="B211" s="21" t="str">
        <x:v>/iːt/</x:v>
      </x:c>
      <x:c r="C211" s="38" t="str">
        <x:v>吃</x:v>
      </x:c>
      <x:c r="D211" s="68"/>
      <x:c r="E211" s="37" t="str">
        <x:v>early</x:v>
      </x:c>
      <x:c r="F211" s="21" t="str">
        <x:v>/ˈɜːli/</x:v>
      </x:c>
      <x:c r="G211" s="38" t="str">
        <x:v>早；提早</x:v>
      </x:c>
      <x:c r="H211" s="68"/>
      <x:c r="I211" s="75"/>
      <x:c r="J211" s="68"/>
      <x:c r="K211" s="74"/>
    </x:row>
    <x:row r="212" ht="20" customHeight="1">
      <x:c r="A212" s="39" t="str">
        <x:v>encourage</x:v>
      </x:c>
      <x:c r="B212" s="28" t="str">
        <x:v>/ɪnˈkʌrɪdʒ/</x:v>
      </x:c>
      <x:c r="C212" s="40" t="str">
        <x:v>鼓励；激励</x:v>
      </x:c>
      <x:c r="D212" s="68"/>
      <x:c r="E212" s="39" t="str">
        <x:v>east</x:v>
      </x:c>
      <x:c r="F212" s="28" t="str">
        <x:v>/iːst/</x:v>
      </x:c>
      <x:c r="G212" s="40" t="str">
        <x:v>向东</x:v>
      </x:c>
      <x:c r="H212" s="68"/>
      <x:c r="I212" s="75"/>
      <x:c r="J212" s="68"/>
      <x:c r="K212" s="74"/>
    </x:row>
    <x:row r="213" ht="20" customHeight="1">
      <x:c r="A213" s="37" t="str">
        <x:v>end</x:v>
      </x:c>
      <x:c r="B213" s="21" t="str">
        <x:v>/end/</x:v>
      </x:c>
      <x:c r="C213" s="38" t="str">
        <x:v>结束</x:v>
      </x:c>
      <x:c r="D213" s="68"/>
      <x:c r="E213" s="37" t="str">
        <x:v>either</x:v>
      </x:c>
      <x:c r="F213" s="21" t="str">
        <x:v>/ˈaɪðə(r)/</x:v>
      </x:c>
      <x:c r="G213" s="38" t="str">
        <x:v>也（不）</x:v>
      </x:c>
      <x:c r="H213" s="68"/>
      <x:c r="I213" s="75"/>
      <x:c r="J213" s="68"/>
      <x:c r="K213" s="74"/>
    </x:row>
    <x:row r="214" ht="20" customHeight="1">
      <x:c r="A214" s="39" t="str">
        <x:v>enter</x:v>
      </x:c>
      <x:c r="B214" s="28" t="str">
        <x:v>/ˈentə(r)/</x:v>
      </x:c>
      <x:c r="C214" s="40" t="str">
        <x:v>进入</x:v>
      </x:c>
      <x:c r="D214" s="68"/>
      <x:c r="E214" s="39" t="str">
        <x:v>especially</x:v>
      </x:c>
      <x:c r="F214" s="28" t="str">
        <x:v>/ɪˈspeʃəli/</x:v>
      </x:c>
      <x:c r="G214" s="40" t="str">
        <x:v>尤其</x:v>
      </x:c>
      <x:c r="H214" s="68"/>
      <x:c r="I214" s="75"/>
      <x:c r="J214" s="68"/>
      <x:c r="K214" s="74"/>
    </x:row>
    <x:row r="215" ht="20" customHeight="1">
      <x:c r="A215" s="41" t="str">
        <x:v>enjoy</x:v>
      </x:c>
      <x:c r="B215" s="42" t="str">
        <x:v>/ɪnˈdʒɔɪ/</x:v>
      </x:c>
      <x:c r="C215" s="43" t="str">
        <x:v>享受……的乐趣；喜爱</x:v>
      </x:c>
      <x:c r="D215" s="68"/>
      <x:c r="E215" s="41" t="str">
        <x:v>even</x:v>
      </x:c>
      <x:c r="F215" s="42" t="str">
        <x:v>/ˈiːvn/</x:v>
      </x:c>
      <x:c r="G215" s="43" t="str">
        <x:v>甚至；连</x:v>
      </x:c>
      <x:c r="H215" s="68"/>
      <x:c r="I215" s="76"/>
      <x:c r="J215" s="77"/>
      <x:c r="K215" s="78"/>
    </x:row>
    <x:row r="216">
      <x:c r="A216" s="68"/>
      <x:c r="B216" s="68"/>
      <x:c r="C216" s="68"/>
      <x:c r="D216" s="68"/>
      <x:c r="E216" s="68"/>
      <x:c r="F216" s="68"/>
      <x:c r="G216" s="68"/>
      <x:c r="H216" s="68"/>
      <x:c r="I216" s="68"/>
      <x:c r="J216" s="68"/>
      <x:c r="K216" s="68"/>
    </x:row>
    <x:row r="217" ht="27" customHeight="1">
      <x:c r="A217" s="65" t="str">
        <x:v>F 开头单词（1/2）</x:v>
      </x:c>
      <x:c r="B217" s="66"/>
      <x:c r="C217" s="67"/>
      <x:c r="D217" s="68"/>
      <x:c r="E217" s="69"/>
      <x:c r="F217" s="66"/>
      <x:c r="G217" s="67"/>
      <x:c r="H217" s="68"/>
      <x:c r="I217" s="69"/>
      <x:c r="J217" s="66"/>
      <x:c r="K217" s="67"/>
    </x:row>
    <x:row r="218" ht="19" customHeight="1">
      <x:c r="A218" s="70" t="str">
        <x:v>英文单词 / 短语</x:v>
      </x:c>
      <x:c r="B218" s="71" t="str">
        <x:v>音标</x:v>
      </x:c>
      <x:c r="C218" s="72" t="str">
        <x:v>中文解释</x:v>
      </x:c>
      <x:c r="D218" s="68"/>
      <x:c r="E218" s="70" t="str">
        <x:v>英文单词 / 短语</x:v>
      </x:c>
      <x:c r="F218" s="71" t="str">
        <x:v>音标</x:v>
      </x:c>
      <x:c r="G218" s="72" t="str">
        <x:v>中文解释</x:v>
      </x:c>
      <x:c r="H218" s="68"/>
      <x:c r="I218" s="70" t="str">
        <x:v>英文单词 / 短语</x:v>
      </x:c>
      <x:c r="J218" s="71" t="str">
        <x:v>音标</x:v>
      </x:c>
      <x:c r="K218" s="72" t="str">
        <x:v>中文解释</x:v>
      </x:c>
    </x:row>
    <x:row r="219" ht="20" customHeight="1">
      <x:c r="A219" s="73" t="str">
        <x:v>名词（36）</x:v>
      </x:c>
      <x:c r="B219" s="68"/>
      <x:c r="C219" s="74"/>
      <x:c r="D219" s="68"/>
      <x:c r="E219" s="39" t="str">
        <x:v>fork</x:v>
      </x:c>
      <x:c r="F219" s="28" t="str">
        <x:v>/fɔːk/</x:v>
      </x:c>
      <x:c r="G219" s="40" t="str">
        <x:v>餐叉</x:v>
      </x:c>
      <x:c r="H219" s="68"/>
      <x:c r="I219" s="39" t="str">
        <x:v>forget</x:v>
      </x:c>
      <x:c r="J219" s="28" t="str">
        <x:v>/fəˈɡet/</x:v>
      </x:c>
      <x:c r="K219" s="40" t="str">
        <x:v>(forgot /fəˈɡɒt/; forgotten /fəˈɡɒtn/) 忘记</x:v>
      </x:c>
    </x:row>
    <x:row r="220" ht="20" customHeight="1">
      <x:c r="A220" s="37" t="str">
        <x:v>face</x:v>
      </x:c>
      <x:c r="B220" s="21" t="str">
        <x:v>/feɪs/</x:v>
      </x:c>
      <x:c r="C220" s="38" t="str">
        <x:v>脸</x:v>
      </x:c>
      <x:c r="D220" s="68"/>
      <x:c r="E220" s="37" t="str">
        <x:v>form</x:v>
      </x:c>
      <x:c r="F220" s="21" t="str">
        <x:v>/fɔːm/</x:v>
      </x:c>
      <x:c r="G220" s="38" t="str">
        <x:v>表格</x:v>
      </x:c>
      <x:c r="H220" s="68"/>
      <x:c r="I220" s="37" t="str">
        <x:v>form</x:v>
      </x:c>
      <x:c r="J220" s="21" t="str">
        <x:v>/fɔːm/</x:v>
      </x:c>
      <x:c r="K220" s="38" t="str">
        <x:v>形成</x:v>
      </x:c>
    </x:row>
    <x:row r="221" ht="20" customHeight="1">
      <x:c r="A221" s="39" t="str">
        <x:v>fact</x:v>
      </x:c>
      <x:c r="B221" s="28" t="str">
        <x:v>/fækt/</x:v>
      </x:c>
      <x:c r="C221" s="40" t="str">
        <x:v>事实；细节</x:v>
      </x:c>
      <x:c r="D221" s="68"/>
      <x:c r="E221" s="39" t="str">
        <x:v>forward</x:v>
      </x:c>
      <x:c r="F221" s="28" t="str">
        <x:v>/ˈfɔːwəd/</x:v>
      </x:c>
      <x:c r="G221" s="40" t="str">
        <x:v>前锋（此处兼作副词，表“向前”）</x:v>
      </x:c>
      <x:c r="H221" s="68"/>
      <x:c r="I221" s="39" t="str">
        <x:v>forward</x:v>
      </x:c>
      <x:c r="J221" s="28" t="str">
        <x:v>/ˈfɔːwəd/</x:v>
      </x:c>
      <x:c r="K221" s="40" t="str">
        <x:v>促进；发送（此处兼作副词）</x:v>
      </x:c>
    </x:row>
    <x:row r="222" ht="17" customHeight="1">
      <x:c r="A222" s="37" t="str">
        <x:v>fan</x:v>
      </x:c>
      <x:c r="B222" s="21" t="str">
        <x:v>/fæn/</x:v>
      </x:c>
      <x:c r="C222" s="38" t="str">
        <x:v>迷；支持者</x:v>
      </x:c>
      <x:c r="D222" s="68"/>
      <x:c r="E222" s="37" t="str">
        <x:v>fox</x:v>
      </x:c>
      <x:c r="F222" s="21" t="str">
        <x:v>/fɒks/</x:v>
      </x:c>
      <x:c r="G222" s="38" t="str">
        <x:v>狐狸</x:v>
      </x:c>
      <x:c r="H222" s="68"/>
      <x:c r="I222" s="73" t="str">
        <x:v>形容词（20）</x:v>
      </x:c>
      <x:c r="J222" s="68"/>
      <x:c r="K222" s="74"/>
    </x:row>
    <x:row r="223" ht="20" customHeight="1">
      <x:c r="A223" s="39" t="str">
        <x:v>farm</x:v>
      </x:c>
      <x:c r="B223" s="28" t="str">
        <x:v>/fɑːm/</x:v>
      </x:c>
      <x:c r="C223" s="40" t="str">
        <x:v>农场</x:v>
      </x:c>
      <x:c r="D223" s="68"/>
      <x:c r="E223" s="39" t="str">
        <x:v>France</x:v>
      </x:c>
      <x:c r="F223" s="28" t="str">
        <x:v>/frɑːns/</x:v>
      </x:c>
      <x:c r="G223" s="40" t="str">
        <x:v>法国</x:v>
      </x:c>
      <x:c r="H223" s="68"/>
      <x:c r="I223" s="39" t="str">
        <x:v>fair</x:v>
      </x:c>
      <x:c r="J223" s="28" t="str">
        <x:v>/feə/</x:v>
      </x:c>
      <x:c r="K223" s="40" t="str">
        <x:v>金色的；浅褐色的</x:v>
      </x:c>
    </x:row>
    <x:row r="224" ht="20" customHeight="1">
      <x:c r="A224" s="37" t="str">
        <x:v>farmer</x:v>
      </x:c>
      <x:c r="B224" s="21" t="str">
        <x:v>/ˈfɑːmə/</x:v>
      </x:c>
      <x:c r="C224" s="38" t="str">
        <x:v>农民</x:v>
      </x:c>
      <x:c r="D224" s="68"/>
      <x:c r="E224" s="37" t="str">
        <x:v>free</x:v>
      </x:c>
      <x:c r="F224" s="21" t="str">
        <x:v>/friː/</x:v>
      </x:c>
      <x:c r="G224" s="38" t="str">
        <x:v>免费；自由（此处兼作形容词）</x:v>
      </x:c>
      <x:c r="H224" s="68"/>
      <x:c r="I224" s="37" t="str">
        <x:v>famous</x:v>
      </x:c>
      <x:c r="J224" s="21" t="str">
        <x:v>/ˈfeɪməs/</x:v>
      </x:c>
      <x:c r="K224" s="38" t="str">
        <x:v>著名的</x:v>
      </x:c>
    </x:row>
    <x:row r="225" ht="20" customHeight="1">
      <x:c r="A225" s="39" t="str">
        <x:v>fast food</x:v>
      </x:c>
      <x:c r="B225" s="28" t="str">
        <x:v>/fɑːst fuːd/</x:v>
      </x:c>
      <x:c r="C225" s="40" t="str">
        <x:v>快餐食品</x:v>
      </x:c>
      <x:c r="D225" s="68"/>
      <x:c r="E225" s="39" t="str">
        <x:v>Friday</x:v>
      </x:c>
      <x:c r="F225" s="28" t="str">
        <x:v>/ˈfraɪdeɪ/</x:v>
      </x:c>
      <x:c r="G225" s="40" t="str">
        <x:v>星期五</x:v>
      </x:c>
      <x:c r="H225" s="68"/>
      <x:c r="I225" s="39" t="str">
        <x:v>fantastic</x:v>
      </x:c>
      <x:c r="J225" s="28" t="str">
        <x:v>/fænˈtæstɪk/</x:v>
      </x:c>
      <x:c r="K225" s="40" t="str">
        <x:v>极好的</x:v>
      </x:c>
    </x:row>
    <x:row r="226" ht="20" customHeight="1">
      <x:c r="A226" s="37" t="str">
        <x:v>father</x:v>
      </x:c>
      <x:c r="B226" s="21" t="str">
        <x:v>/ˈfɑːðə/</x:v>
      </x:c>
      <x:c r="C226" s="38" t="str">
        <x:v>父亲；爸爸</x:v>
      </x:c>
      <x:c r="D226" s="68"/>
      <x:c r="E226" s="37" t="str">
        <x:v>friend</x:v>
      </x:c>
      <x:c r="F226" s="21" t="str">
        <x:v>/frend/</x:v>
      </x:c>
      <x:c r="G226" s="38" t="str">
        <x:v>朋友</x:v>
      </x:c>
      <x:c r="H226" s="68"/>
      <x:c r="I226" s="37" t="str">
        <x:v>far</x:v>
      </x:c>
      <x:c r="J226" s="21" t="str">
        <x:v>/fɑː/</x:v>
      </x:c>
      <x:c r="K226" s="38" t="str">
        <x:v>远的；遥远的</x:v>
      </x:c>
    </x:row>
    <x:row r="227" ht="20" customHeight="1">
      <x:c r="A227" s="39" t="str">
        <x:v>fear</x:v>
      </x:c>
      <x:c r="B227" s="28" t="str">
        <x:v>/fɪə/</x:v>
      </x:c>
      <x:c r="C227" s="40" t="str">
        <x:v>害怕；恐惧</x:v>
      </x:c>
      <x:c r="D227" s="68"/>
      <x:c r="E227" s="39" t="str">
        <x:v>friendship</x:v>
      </x:c>
      <x:c r="F227" s="28" t="str">
        <x:v>/ˈfrendʃɪp/</x:v>
      </x:c>
      <x:c r="G227" s="40" t="str">
        <x:v>友谊；友好</x:v>
      </x:c>
      <x:c r="H227" s="68"/>
      <x:c r="I227" s="39" t="str">
        <x:v>fat</x:v>
      </x:c>
      <x:c r="J227" s="28" t="str">
        <x:v>/fæt/</x:v>
      </x:c>
      <x:c r="K227" s="40" t="str">
        <x:v>肥胖的</x:v>
      </x:c>
    </x:row>
    <x:row r="228" ht="20" customHeight="1">
      <x:c r="A228" s="37" t="str">
        <x:v>February</x:v>
      </x:c>
      <x:c r="B228" s="21" t="str">
        <x:v>/ˈfebruəri/</x:v>
      </x:c>
      <x:c r="C228" s="38" t="str">
        <x:v>二月</x:v>
      </x:c>
      <x:c r="D228" s="68"/>
      <x:c r="E228" s="37" t="str">
        <x:v>fruit</x:v>
      </x:c>
      <x:c r="F228" s="21" t="str">
        <x:v>/fruːt/</x:v>
      </x:c>
      <x:c r="G228" s="38" t="str">
        <x:v>水果</x:v>
      </x:c>
      <x:c r="H228" s="68"/>
      <x:c r="I228" s="37" t="str">
        <x:v>favourite</x:v>
      </x:c>
      <x:c r="J228" s="21" t="str">
        <x:v>/ˈfeɪvərɪt/</x:v>
      </x:c>
      <x:c r="K228" s="38" t="str">
        <x:v>最喜欢的；最喜爱的</x:v>
      </x:c>
    </x:row>
    <x:row r="229" ht="20" customHeight="1">
      <x:c r="A229" s="39" t="str">
        <x:v>festival</x:v>
      </x:c>
      <x:c r="B229" s="28" t="str">
        <x:v>/ˈfestɪvl/</x:v>
      </x:c>
      <x:c r="C229" s="40" t="str">
        <x:v>节日</x:v>
      </x:c>
      <x:c r="D229" s="68"/>
      <x:c r="E229" s="39" t="str">
        <x:v>fun</x:v>
      </x:c>
      <x:c r="F229" s="28" t="str">
        <x:v>/fʌn/</x:v>
      </x:c>
      <x:c r="G229" s="40" t="str">
        <x:v>娱乐；乐趣</x:v>
      </x:c>
      <x:c r="H229" s="68"/>
      <x:c r="I229" s="39" t="str">
        <x:v>fast</x:v>
      </x:c>
      <x:c r="J229" s="28" t="str">
        <x:v>/fɑːst/</x:v>
      </x:c>
      <x:c r="K229" s="40" t="str">
        <x:v>快的；快速的</x:v>
      </x:c>
    </x:row>
    <x:row r="230" ht="20" customHeight="1">
      <x:c r="A230" s="37" t="str">
        <x:v>fever</x:v>
      </x:c>
      <x:c r="B230" s="21" t="str">
        <x:v>/ˈfiːvə/</x:v>
      </x:c>
      <x:c r="C230" s="38" t="str">
        <x:v>发烧；发热</x:v>
      </x:c>
      <x:c r="D230" s="68"/>
      <x:c r="E230" s="37" t="str">
        <x:v>furniture</x:v>
      </x:c>
      <x:c r="F230" s="21" t="str">
        <x:v>/ˈfɜːnɪtʃə/</x:v>
      </x:c>
      <x:c r="G230" s="38" t="str">
        <x:v>家具（总称）</x:v>
      </x:c>
      <x:c r="H230" s="68"/>
      <x:c r="I230" s="37" t="str">
        <x:v>fat</x:v>
      </x:c>
      <x:c r="J230" s="21" t="str">
        <x:v>/fæt/</x:v>
      </x:c>
      <x:c r="K230" s="38" t="str">
        <x:v>胖的</x:v>
      </x:c>
    </x:row>
    <x:row r="231" ht="20" customHeight="1">
      <x:c r="A231" s="39" t="str">
        <x:v>field</x:v>
      </x:c>
      <x:c r="B231" s="28" t="str">
        <x:v>/fiːld/</x:v>
      </x:c>
      <x:c r="C231" s="40" t="str">
        <x:v>牧场；田地</x:v>
      </x:c>
      <x:c r="D231" s="68"/>
      <x:c r="E231" s="39" t="str">
        <x:v>future</x:v>
      </x:c>
      <x:c r="F231" s="28" t="str">
        <x:v>/ˈfjuːtʃə/</x:v>
      </x:c>
      <x:c r="G231" s="40" t="str">
        <x:v>将来；未来</x:v>
      </x:c>
      <x:c r="H231" s="68"/>
      <x:c r="I231" s="39" t="str">
        <x:v>favourite</x:v>
      </x:c>
      <x:c r="J231" s="28" t="str">
        <x:v>/ˈfeɪvərɪt/</x:v>
      </x:c>
      <x:c r="K231" s="40" t="str">
        <x:v>最喜欢的</x:v>
      </x:c>
    </x:row>
    <x:row r="232" ht="20" customHeight="1">
      <x:c r="A232" s="37" t="str">
        <x:v>film</x:v>
      </x:c>
      <x:c r="B232" s="21" t="str">
        <x:v>/fɪlm/</x:v>
      </x:c>
      <x:c r="C232" s="38" t="str">
        <x:v>电影</x:v>
      </x:c>
      <x:c r="D232" s="68"/>
      <x:c r="E232" s="73" t="str">
        <x:v>动词（13）</x:v>
      </x:c>
      <x:c r="F232" s="68"/>
      <x:c r="G232" s="74"/>
      <x:c r="H232" s="68"/>
      <x:c r="I232" s="37" t="str">
        <x:v>fine</x:v>
      </x:c>
      <x:c r="J232" s="21" t="str">
        <x:v>/faɪn/</x:v>
      </x:c>
      <x:c r="K232" s="38" t="str">
        <x:v>很好的；不错的</x:v>
      </x:c>
    </x:row>
    <x:row r="233" ht="20" customHeight="1">
      <x:c r="A233" s="39" t="str">
        <x:v>finger</x:v>
      </x:c>
      <x:c r="B233" s="28" t="str">
        <x:v>/ˈfɪŋɡə/</x:v>
      </x:c>
      <x:c r="C233" s="40" t="str">
        <x:v>手指</x:v>
      </x:c>
      <x:c r="D233" s="68"/>
      <x:c r="E233" s="39" t="str">
        <x:v>fall</x:v>
      </x:c>
      <x:c r="F233" s="28" t="str">
        <x:v>/fɔːl/</x:v>
      </x:c>
      <x:c r="G233" s="40" t="str">
        <x:v>(fell /fel/; fallen /ˈfɔːlən/) 下落；跌落</x:v>
      </x:c>
      <x:c r="H233" s="68"/>
      <x:c r="I233" s="39" t="str">
        <x:v>first</x:v>
      </x:c>
      <x:c r="J233" s="28" t="str">
        <x:v>/fɜːst/</x:v>
      </x:c>
      <x:c r="K233" s="40" t="str">
        <x:v>第一（位）的；首要的</x:v>
      </x:c>
    </x:row>
    <x:row r="234" ht="20" customHeight="1">
      <x:c r="A234" s="37" t="str">
        <x:v>fire</x:v>
      </x:c>
      <x:c r="B234" s="21" t="str">
        <x:v>/ˈfaɪə/</x:v>
      </x:c>
      <x:c r="C234" s="38" t="str">
        <x:v>火；火灾</x:v>
      </x:c>
      <x:c r="D234" s="68"/>
      <x:c r="E234" s="37" t="str">
        <x:v>feed</x:v>
      </x:c>
      <x:c r="F234" s="21" t="str">
        <x:v>/fiːd/</x:v>
      </x:c>
      <x:c r="G234" s="38" t="str">
        <x:v>(fed /fed/; fed) 喂养；饲养</x:v>
      </x:c>
      <x:c r="H234" s="68"/>
      <x:c r="I234" s="37" t="str">
        <x:v>fit</x:v>
      </x:c>
      <x:c r="J234" s="21" t="str">
        <x:v>/fɪt/</x:v>
      </x:c>
      <x:c r="K234" s="38" t="str">
        <x:v>健康的；强健的</x:v>
      </x:c>
    </x:row>
    <x:row r="235" ht="20" customHeight="1">
      <x:c r="A235" s="39" t="str">
        <x:v>fish</x:v>
      </x:c>
      <x:c r="B235" s="28" t="str">
        <x:v>/fɪʃ/</x:v>
      </x:c>
      <x:c r="C235" s="40" t="str">
        <x:v>鱼肉；鱼</x:v>
      </x:c>
      <x:c r="D235" s="68"/>
      <x:c r="E235" s="39" t="str">
        <x:v>feel</x:v>
      </x:c>
      <x:c r="F235" s="28" t="str">
        <x:v>/fiːl/</x:v>
      </x:c>
      <x:c r="G235" s="40" t="str">
        <x:v>(felt /felt/; felt) 感觉；觉得</x:v>
      </x:c>
      <x:c r="H235" s="68"/>
      <x:c r="I235" s="39" t="str">
        <x:v>foreign</x:v>
      </x:c>
      <x:c r="J235" s="28" t="str">
        <x:v>/ˈfɒrɪn/</x:v>
      </x:c>
      <x:c r="K235" s="40" t="str">
        <x:v>外国的</x:v>
      </x:c>
    </x:row>
    <x:row r="236" ht="20" customHeight="1">
      <x:c r="A236" s="37" t="str">
        <x:v>floor</x:v>
      </x:c>
      <x:c r="B236" s="21" t="str">
        <x:v>/flɔː/</x:v>
      </x:c>
      <x:c r="C236" s="38" t="str">
        <x:v>地板</x:v>
      </x:c>
      <x:c r="D236" s="68"/>
      <x:c r="E236" s="37" t="str">
        <x:v>fight</x:v>
      </x:c>
      <x:c r="F236" s="21" t="str">
        <x:v>/faɪt/</x:v>
      </x:c>
      <x:c r="G236" s="38" t="str">
        <x:v>(fought /fɔːt/; fought) 与……战斗；斗争</x:v>
      </x:c>
      <x:c r="H236" s="68"/>
      <x:c r="I236" s="37" t="str">
        <x:v>free</x:v>
      </x:c>
      <x:c r="J236" s="21" t="str">
        <x:v>/friː/</x:v>
      </x:c>
      <x:c r="K236" s="38" t="str">
        <x:v>（时间）空闲的；空余的；免费的</x:v>
      </x:c>
    </x:row>
    <x:row r="237" ht="20" customHeight="1">
      <x:c r="A237" s="39" t="str">
        <x:v>flower</x:v>
      </x:c>
      <x:c r="B237" s="28" t="str">
        <x:v>/ˈflaʊə/</x:v>
      </x:c>
      <x:c r="C237" s="40" t="str">
        <x:v>花</x:v>
      </x:c>
      <x:c r="D237" s="68"/>
      <x:c r="E237" s="39" t="str">
        <x:v>fill</x:v>
      </x:c>
      <x:c r="F237" s="28" t="str">
        <x:v>/fɪl/</x:v>
      </x:c>
      <x:c r="G237" s="40" t="str">
        <x:v>填满；填充</x:v>
      </x:c>
      <x:c r="H237" s="68"/>
      <x:c r="I237" s="39" t="str">
        <x:v>French</x:v>
      </x:c>
      <x:c r="J237" s="28" t="str">
        <x:v>/frentʃ/</x:v>
      </x:c>
      <x:c r="K237" s="40" t="str">
        <x:v>法国的；法语的</x:v>
      </x:c>
    </x:row>
    <x:row r="238" ht="20" customHeight="1">
      <x:c r="A238" s="37" t="str">
        <x:v>flu</x:v>
      </x:c>
      <x:c r="B238" s="21" t="str">
        <x:v>/fluː/</x:v>
      </x:c>
      <x:c r="C238" s="38" t="str">
        <x:v>流感</x:v>
      </x:c>
      <x:c r="D238" s="68"/>
      <x:c r="E238" s="37" t="str">
        <x:v>find</x:v>
      </x:c>
      <x:c r="F238" s="21" t="str">
        <x:v>/faɪnd/</x:v>
      </x:c>
      <x:c r="G238" s="38" t="str">
        <x:v>(found /faʊnd/; found) 发现；找到</x:v>
      </x:c>
      <x:c r="H238" s="68"/>
      <x:c r="I238" s="37" t="str">
        <x:v>fresh</x:v>
      </x:c>
      <x:c r="J238" s="21" t="str">
        <x:v>/freʃ/</x:v>
      </x:c>
      <x:c r="K238" s="38" t="str">
        <x:v>新鲜的</x:v>
      </x:c>
    </x:row>
    <x:row r="239" ht="20" customHeight="1">
      <x:c r="A239" s="39" t="str">
        <x:v>food</x:v>
      </x:c>
      <x:c r="B239" s="28" t="str">
        <x:v>/fuːd/</x:v>
      </x:c>
      <x:c r="C239" s="40" t="str">
        <x:v>食物；食品</x:v>
      </x:c>
      <x:c r="D239" s="68"/>
      <x:c r="E239" s="39" t="str">
        <x:v>finish</x:v>
      </x:c>
      <x:c r="F239" s="28" t="str">
        <x:v>/ˈfɪnɪʃ/</x:v>
      </x:c>
      <x:c r="G239" s="40" t="str">
        <x:v>结束；完成；吃完；喝完；用尽</x:v>
      </x:c>
      <x:c r="H239" s="68"/>
      <x:c r="I239" s="39" t="str">
        <x:v>friendly</x:v>
      </x:c>
      <x:c r="J239" s="28" t="str">
        <x:v>/ˈfrendli/</x:v>
      </x:c>
      <x:c r="K239" s="40" t="str">
        <x:v>友好的</x:v>
      </x:c>
    </x:row>
    <x:row r="240" ht="20" customHeight="1">
      <x:c r="A240" s="37" t="str">
        <x:v>foot</x:v>
      </x:c>
      <x:c r="B240" s="21" t="str">
        <x:v>/fʊt/</x:v>
      </x:c>
      <x:c r="C240" s="38" t="str">
        <x:v>(pl. feet /fiːt/) 脚；足</x:v>
      </x:c>
      <x:c r="D240" s="68"/>
      <x:c r="E240" s="37" t="str">
        <x:v>fit</x:v>
      </x:c>
      <x:c r="F240" s="21" t="str">
        <x:v>/fɪt/</x:v>
      </x:c>
      <x:c r="G240" s="38" t="str">
        <x:v>适合；合身</x:v>
      </x:c>
      <x:c r="H240" s="68"/>
      <x:c r="I240" s="37" t="str">
        <x:v>front</x:v>
      </x:c>
      <x:c r="J240" s="21" t="str">
        <x:v>/frʌnt/</x:v>
      </x:c>
      <x:c r="K240" s="38" t="str">
        <x:v>前面的；正面的</x:v>
      </x:c>
    </x:row>
    <x:row r="241" ht="20" customHeight="1">
      <x:c r="A241" s="39" t="str">
        <x:v>football</x:v>
      </x:c>
      <x:c r="B241" s="28" t="str">
        <x:v>/ˈfʊtbɔːl/</x:v>
      </x:c>
      <x:c r="C241" s="40" t="str">
        <x:v>足球</x:v>
      </x:c>
      <x:c r="D241" s="68"/>
      <x:c r="E241" s="39" t="str">
        <x:v>fly</x:v>
      </x:c>
      <x:c r="F241" s="28" t="str">
        <x:v>/flaɪ/</x:v>
      </x:c>
      <x:c r="G241" s="40" t="str">
        <x:v>(flew /fluː/; flown /fləʊn/) 放飞（风筝等）；飞行；乘飞机</x:v>
      </x:c>
      <x:c r="H241" s="68"/>
      <x:c r="I241" s="39" t="str">
        <x:v>full</x:v>
      </x:c>
      <x:c r="J241" s="28" t="str">
        <x:v>/fʊl/</x:v>
      </x:c>
      <x:c r="K241" s="40" t="str">
        <x:v>满的；充满的</x:v>
      </x:c>
    </x:row>
    <x:row r="242" ht="20" customHeight="1">
      <x:c r="A242" s="41" t="str">
        <x:v>forest</x:v>
      </x:c>
      <x:c r="B242" s="42" t="str">
        <x:v>/ˈfɒrɪst/</x:v>
      </x:c>
      <x:c r="C242" s="43" t="str">
        <x:v>森林</x:v>
      </x:c>
      <x:c r="D242" s="68"/>
      <x:c r="E242" s="41" t="str">
        <x:v>follow</x:v>
      </x:c>
      <x:c r="F242" s="42" t="str">
        <x:v>/ˈfɒləʊ/</x:v>
      </x:c>
      <x:c r="G242" s="43" t="str">
        <x:v>跟随；紧跟</x:v>
      </x:c>
      <x:c r="H242" s="68"/>
      <x:c r="I242" s="41" t="str">
        <x:v>funny</x:v>
      </x:c>
      <x:c r="J242" s="42" t="str">
        <x:v>/ˈfʌni/</x:v>
      </x:c>
      <x:c r="K242" s="43" t="str">
        <x:v>有趣的</x:v>
      </x:c>
    </x:row>
    <x:row r="243">
      <x:c r="A243" s="68"/>
      <x:c r="B243" s="68"/>
      <x:c r="C243" s="68"/>
      <x:c r="D243" s="68"/>
      <x:c r="E243" s="68"/>
      <x:c r="F243" s="68"/>
      <x:c r="G243" s="68"/>
      <x:c r="H243" s="68"/>
      <x:c r="I243" s="68"/>
      <x:c r="J243" s="68"/>
      <x:c r="K243" s="68"/>
    </x:row>
    <x:row r="244" ht="27" customHeight="1">
      <x:c r="A244" s="65" t="str">
        <x:v>F 开头单词（2/2）</x:v>
      </x:c>
      <x:c r="B244" s="66"/>
      <x:c r="C244" s="67"/>
      <x:c r="D244" s="68"/>
      <x:c r="E244" s="69"/>
      <x:c r="F244" s="66"/>
      <x:c r="G244" s="67"/>
      <x:c r="H244" s="68"/>
      <x:c r="I244" s="69"/>
      <x:c r="J244" s="66"/>
      <x:c r="K244" s="67"/>
    </x:row>
    <x:row r="245" ht="19" customHeight="1">
      <x:c r="A245" s="70" t="str">
        <x:v>英文单词 / 短语</x:v>
      </x:c>
      <x:c r="B245" s="71" t="str">
        <x:v>音标</x:v>
      </x:c>
      <x:c r="C245" s="72" t="str">
        <x:v>中文解释</x:v>
      </x:c>
      <x:c r="D245" s="68"/>
      <x:c r="E245" s="70" t="str">
        <x:v>英文单词 / 短语</x:v>
      </x:c>
      <x:c r="F245" s="71" t="str">
        <x:v>音标</x:v>
      </x:c>
      <x:c r="G245" s="72" t="str">
        <x:v>中文解释</x:v>
      </x:c>
      <x:c r="H245" s="68"/>
      <x:c r="I245" s="70" t="str">
        <x:v>英文单词 / 短语</x:v>
      </x:c>
      <x:c r="J245" s="71" t="str">
        <x:v>音标</x:v>
      </x:c>
      <x:c r="K245" s="72" t="str">
        <x:v>中文解释</x:v>
      </x:c>
    </x:row>
    <x:row r="246" ht="20" customHeight="1">
      <x:c r="A246" s="73" t="str">
        <x:v>副词（4）</x:v>
      </x:c>
      <x:c r="B246" s="68"/>
      <x:c r="C246" s="74"/>
      <x:c r="D246" s="68"/>
      <x:c r="E246" s="39" t="str">
        <x:v>feed</x:v>
      </x:c>
      <x:c r="F246" s="28" t="str"/>
      <x:c r="G246" s="40" t="str">
        <x:v>on 以……为食</x:v>
      </x:c>
      <x:c r="H246" s="68"/>
      <x:c r="I246" s="75"/>
      <x:c r="J246" s="68"/>
      <x:c r="K246" s="74"/>
    </x:row>
    <x:row r="247" ht="20" customHeight="1">
      <x:c r="A247" s="37" t="str">
        <x:v>far</x:v>
      </x:c>
      <x:c r="B247" s="21" t="str">
        <x:v>/fɑː/</x:v>
      </x:c>
      <x:c r="C247" s="38" t="str">
        <x:v>远；遥远</x:v>
      </x:c>
      <x:c r="D247" s="68"/>
      <x:c r="E247" s="37" t="str">
        <x:v>fill</x:v>
      </x:c>
      <x:c r="F247" s="21" t="str"/>
      <x:c r="G247" s="38" t="str">
        <x:v>out 填写；填充</x:v>
      </x:c>
      <x:c r="H247" s="68"/>
      <x:c r="I247" s="75"/>
      <x:c r="J247" s="68"/>
      <x:c r="K247" s="74"/>
    </x:row>
    <x:row r="248" ht="20" customHeight="1">
      <x:c r="A248" s="39" t="str">
        <x:v>fast</x:v>
      </x:c>
      <x:c r="B248" s="28" t="str">
        <x:v>/fɑːst/</x:v>
      </x:c>
      <x:c r="C248" s="40" t="str">
        <x:v>快地；快速地</x:v>
      </x:c>
      <x:c r="D248" s="68"/>
      <x:c r="E248" s="39" t="str">
        <x:v>find</x:v>
      </x:c>
      <x:c r="F248" s="28" t="str"/>
      <x:c r="G248" s="40" t="str">
        <x:v>out 发现；查明；弄清</x:v>
      </x:c>
      <x:c r="H248" s="68"/>
      <x:c r="I248" s="75"/>
      <x:c r="J248" s="68"/>
      <x:c r="K248" s="74"/>
    </x:row>
    <x:row r="249" ht="20" customHeight="1">
      <x:c r="A249" s="37" t="str">
        <x:v>first</x:v>
      </x:c>
      <x:c r="B249" s="21" t="str">
        <x:v>/fɜːst/</x:v>
      </x:c>
      <x:c r="C249" s="38" t="str">
        <x:v>先；首先</x:v>
      </x:c>
      <x:c r="D249" s="68"/>
      <x:c r="E249" s="37" t="str">
        <x:v>first</x:v>
      </x:c>
      <x:c r="F249" s="21" t="str"/>
      <x:c r="G249" s="38" t="str">
        <x:v>name 名字</x:v>
      </x:c>
      <x:c r="H249" s="68"/>
      <x:c r="I249" s="75"/>
      <x:c r="J249" s="68"/>
      <x:c r="K249" s="74"/>
    </x:row>
    <x:row r="250" ht="20" customHeight="1">
      <x:c r="A250" s="39" t="str">
        <x:v>forward</x:v>
      </x:c>
      <x:c r="B250" s="28" t="str">
        <x:v>/ˈfɔːwəd/</x:v>
      </x:c>
      <x:c r="C250" s="40" t="str">
        <x:v>面向未来的；向前（此处兼作形容词/动词）</x:v>
      </x:c>
      <x:c r="D250" s="68"/>
      <x:c r="E250" s="39" t="str">
        <x:v>first</x:v>
      </x:c>
      <x:c r="F250" s="28" t="str"/>
      <x:c r="G250" s="40" t="str">
        <x:v>of all 首先；第一</x:v>
      </x:c>
      <x:c r="H250" s="68"/>
      <x:c r="I250" s="75"/>
      <x:c r="J250" s="68"/>
      <x:c r="K250" s="74"/>
    </x:row>
    <x:row r="251" ht="20" customHeight="1">
      <x:c r="A251" s="73" t="str">
        <x:v>介词（2）</x:v>
      </x:c>
      <x:c r="B251" s="68"/>
      <x:c r="C251" s="74"/>
      <x:c r="D251" s="68"/>
      <x:c r="E251" s="37" t="str">
        <x:v>for</x:v>
      </x:c>
      <x:c r="F251" s="21" t="str"/>
      <x:c r="G251" s="38" t="str">
        <x:v>example 例如</x:v>
      </x:c>
      <x:c r="H251" s="68"/>
      <x:c r="I251" s="75"/>
      <x:c r="J251" s="68"/>
      <x:c r="K251" s="74"/>
    </x:row>
    <x:row r="252" ht="20" customHeight="1">
      <x:c r="A252" s="39" t="str">
        <x:v>for</x:v>
      </x:c>
      <x:c r="B252" s="28" t="str">
        <x:v>/fɔː/</x:v>
      </x:c>
      <x:c r="C252" s="40" t="str">
        <x:v>为；为了；给；对</x:v>
      </x:c>
      <x:c r="D252" s="68"/>
      <x:c r="E252" s="39" t="str">
        <x:v>for</x:v>
      </x:c>
      <x:c r="F252" s="28" t="str"/>
      <x:c r="G252" s="40" t="str">
        <x:v>the first time 首次；初次</x:v>
      </x:c>
      <x:c r="H252" s="68"/>
      <x:c r="I252" s="75"/>
      <x:c r="J252" s="68"/>
      <x:c r="K252" s="74"/>
    </x:row>
    <x:row r="253" ht="20" customHeight="1">
      <x:c r="A253" s="37" t="str">
        <x:v>from</x:v>
      </x:c>
      <x:c r="B253" s="21" t="str">
        <x:v>/frəm/</x:v>
      </x:c>
      <x:c r="C253" s="38" t="str">
        <x:v>从……来；来自；从……（出发）</x:v>
      </x:c>
      <x:c r="D253" s="68"/>
      <x:c r="E253" s="37" t="str">
        <x:v>from</x:v>
      </x:c>
      <x:c r="F253" s="21" t="str"/>
      <x:c r="G253" s="38" t="str">
        <x:v>time to time 有时；间或</x:v>
      </x:c>
      <x:c r="H253" s="68"/>
      <x:c r="I253" s="75"/>
      <x:c r="J253" s="68"/>
      <x:c r="K253" s="74"/>
    </x:row>
    <x:row r="254" ht="20" customHeight="1">
      <x:c r="A254" s="73" t="str">
        <x:v>代词（1）</x:v>
      </x:c>
      <x:c r="B254" s="68"/>
      <x:c r="C254" s="74"/>
      <x:c r="D254" s="68"/>
      <x:c r="E254" s="39" t="str">
        <x:v>get</x:v>
      </x:c>
      <x:c r="F254" s="28" t="str"/>
      <x:c r="G254" s="40" t="str">
        <x:v>fat 发胖</x:v>
      </x:c>
      <x:c r="H254" s="68"/>
      <x:c r="I254" s="75"/>
      <x:c r="J254" s="68"/>
      <x:c r="K254" s="74"/>
    </x:row>
    <x:row r="255" ht="20" customHeight="1">
      <x:c r="A255" s="37" t="str">
        <x:v>无纯代词</x:v>
      </x:c>
      <x:c r="B255" s="21" t="str"/>
      <x:c r="C255" s="38" t="str"/>
      <x:c r="D255" s="68"/>
      <x:c r="E255" s="37" t="str">
        <x:v>in</x:v>
      </x:c>
      <x:c r="F255" s="21" t="str"/>
      <x:c r="G255" s="38" t="str">
        <x:v>fact 事实上</x:v>
      </x:c>
      <x:c r="H255" s="68"/>
      <x:c r="I255" s="75"/>
      <x:c r="J255" s="68"/>
      <x:c r="K255" s="74"/>
    </x:row>
    <x:row r="256" ht="20" customHeight="1">
      <x:c r="A256" s="73" t="str">
        <x:v>数词（6）</x:v>
      </x:c>
      <x:c r="B256" s="68"/>
      <x:c r="C256" s="74"/>
      <x:c r="D256" s="68"/>
      <x:c r="E256" s="39" t="str">
        <x:v>in</x:v>
      </x:c>
      <x:c r="F256" s="28" t="str"/>
      <x:c r="G256" s="40" t="str">
        <x:v>front of 在……的前面</x:v>
      </x:c>
      <x:c r="H256" s="68"/>
      <x:c r="I256" s="75"/>
      <x:c r="J256" s="68"/>
      <x:c r="K256" s="74"/>
    </x:row>
    <x:row r="257" ht="20" customHeight="1">
      <x:c r="A257" s="37" t="str">
        <x:v>fifteen</x:v>
      </x:c>
      <x:c r="B257" s="21" t="str">
        <x:v>/ˌfɪfˈtiːn/</x:v>
      </x:c>
      <x:c r="C257" s="38" t="str">
        <x:v>十五</x:v>
      </x:c>
      <x:c r="D257" s="68"/>
      <x:c r="E257" s="37" t="str">
        <x:v>in</x:v>
      </x:c>
      <x:c r="F257" s="21" t="str"/>
      <x:c r="G257" s="38" t="str">
        <x:v>the future 将来</x:v>
      </x:c>
      <x:c r="H257" s="68"/>
      <x:c r="I257" s="75"/>
      <x:c r="J257" s="68"/>
      <x:c r="K257" s="74"/>
    </x:row>
    <x:row r="258" ht="20" customHeight="1">
      <x:c r="A258" s="39" t="str">
        <x:v>fifty</x:v>
      </x:c>
      <x:c r="B258" s="28" t="str">
        <x:v>/ˈfɪfti/</x:v>
      </x:c>
      <x:c r="C258" s="40" t="str">
        <x:v>五十</x:v>
      </x:c>
      <x:c r="D258" s="68"/>
      <x:c r="E258" s="39" t="str">
        <x:v>look</x:v>
      </x:c>
      <x:c r="F258" s="28" t="str"/>
      <x:c r="G258" s="40" t="str">
        <x:v>forward to 盼望</x:v>
      </x:c>
      <x:c r="H258" s="68"/>
      <x:c r="I258" s="75"/>
      <x:c r="J258" s="68"/>
      <x:c r="K258" s="74"/>
    </x:row>
    <x:row r="259" ht="20" customHeight="1">
      <x:c r="A259" s="37" t="str">
        <x:v>fifth</x:v>
      </x:c>
      <x:c r="B259" s="21" t="str">
        <x:v>/fɪfθ/</x:v>
      </x:c>
      <x:c r="C259" s="38" t="str">
        <x:v>第五；五分之一</x:v>
      </x:c>
      <x:c r="D259" s="68"/>
      <x:c r="E259" s="75"/>
      <x:c r="F259" s="68"/>
      <x:c r="G259" s="74"/>
      <x:c r="H259" s="68"/>
      <x:c r="I259" s="75"/>
      <x:c r="J259" s="68"/>
      <x:c r="K259" s="74"/>
    </x:row>
    <x:row r="260" ht="20" customHeight="1">
      <x:c r="A260" s="39" t="str">
        <x:v>four</x:v>
      </x:c>
      <x:c r="B260" s="28" t="str">
        <x:v>/fɔː/</x:v>
      </x:c>
      <x:c r="C260" s="40" t="str">
        <x:v>四</x:v>
      </x:c>
      <x:c r="D260" s="68"/>
      <x:c r="E260" s="75"/>
      <x:c r="F260" s="68"/>
      <x:c r="G260" s="74"/>
      <x:c r="H260" s="68"/>
      <x:c r="I260" s="75"/>
      <x:c r="J260" s="68"/>
      <x:c r="K260" s="74"/>
    </x:row>
    <x:row r="261" ht="20" customHeight="1">
      <x:c r="A261" s="37" t="str">
        <x:v>fourteen</x:v>
      </x:c>
      <x:c r="B261" s="21" t="str">
        <x:v>/ˌfɔːˈtiːn/</x:v>
      </x:c>
      <x:c r="C261" s="38" t="str">
        <x:v>十四</x:v>
      </x:c>
      <x:c r="D261" s="68"/>
      <x:c r="E261" s="75"/>
      <x:c r="F261" s="68"/>
      <x:c r="G261" s="74"/>
      <x:c r="H261" s="68"/>
      <x:c r="I261" s="75"/>
      <x:c r="J261" s="68"/>
      <x:c r="K261" s="74"/>
    </x:row>
    <x:row r="262" ht="20" customHeight="1">
      <x:c r="A262" s="39" t="str">
        <x:v>forty</x:v>
      </x:c>
      <x:c r="B262" s="28" t="str">
        <x:v>/ˈfɔːti/</x:v>
      </x:c>
      <x:c r="C262" s="40" t="str">
        <x:v>四十</x:v>
      </x:c>
      <x:c r="D262" s="68"/>
      <x:c r="E262" s="75"/>
      <x:c r="F262" s="68"/>
      <x:c r="G262" s="74"/>
      <x:c r="H262" s="68"/>
      <x:c r="I262" s="75"/>
      <x:c r="J262" s="68"/>
      <x:c r="K262" s="74"/>
    </x:row>
    <x:row r="263" ht="17" customHeight="1">
      <x:c r="A263" s="73" t="str">
        <x:v>短语（19）</x:v>
      </x:c>
      <x:c r="B263" s="68"/>
      <x:c r="C263" s="74"/>
      <x:c r="D263" s="68"/>
      <x:c r="E263" s="75"/>
      <x:c r="F263" s="68"/>
      <x:c r="G263" s="74"/>
      <x:c r="H263" s="68"/>
      <x:c r="I263" s="75"/>
      <x:c r="J263" s="68"/>
      <x:c r="K263" s="74"/>
    </x:row>
    <x:row r="264" ht="20" customHeight="1">
      <x:c r="A264" s="39" t="str">
        <x:v>a</x:v>
      </x:c>
      <x:c r="B264" s="28" t="str"/>
      <x:c r="C264" s="40" t="str">
        <x:v>few 一些；几个</x:v>
      </x:c>
      <x:c r="D264" s="68"/>
      <x:c r="E264" s="75"/>
      <x:c r="F264" s="68"/>
      <x:c r="G264" s="74"/>
      <x:c r="H264" s="68"/>
      <x:c r="I264" s="75"/>
      <x:c r="J264" s="68"/>
      <x:c r="K264" s="74"/>
    </x:row>
    <x:row r="265" ht="20" customHeight="1">
      <x:c r="A265" s="37" t="str">
        <x:v>at</x:v>
      </x:c>
      <x:c r="B265" s="21" t="str"/>
      <x:c r="C265" s="38" t="str">
        <x:v>first 起初；首先</x:v>
      </x:c>
      <x:c r="D265" s="68"/>
      <x:c r="E265" s="75"/>
      <x:c r="F265" s="68"/>
      <x:c r="G265" s="74"/>
      <x:c r="H265" s="68"/>
      <x:c r="I265" s="75"/>
      <x:c r="J265" s="68"/>
      <x:c r="K265" s="74"/>
    </x:row>
    <x:row r="266" ht="20" customHeight="1">
      <x:c r="A266" s="39" t="str">
        <x:v>far</x:v>
      </x:c>
      <x:c r="B266" s="28" t="str"/>
      <x:c r="C266" s="40" t="str">
        <x:v>from 远离</x:v>
      </x:c>
      <x:c r="D266" s="68"/>
      <x:c r="E266" s="75"/>
      <x:c r="F266" s="68"/>
      <x:c r="G266" s="74"/>
      <x:c r="H266" s="68"/>
      <x:c r="I266" s="75"/>
      <x:c r="J266" s="68"/>
      <x:c r="K266" s="74"/>
    </x:row>
    <x:row r="267" ht="20" customHeight="1">
      <x:c r="A267" s="37" t="str">
        <x:v>fall</x:v>
      </x:c>
      <x:c r="B267" s="21" t="str"/>
      <x:c r="C267" s="38" t="str">
        <x:v>off 从……跌落</x:v>
      </x:c>
      <x:c r="D267" s="68"/>
      <x:c r="E267" s="75"/>
      <x:c r="F267" s="68"/>
      <x:c r="G267" s="74"/>
      <x:c r="H267" s="68"/>
      <x:c r="I267" s="75"/>
      <x:c r="J267" s="68"/>
      <x:c r="K267" s="74"/>
    </x:row>
    <x:row r="268" ht="20" customHeight="1">
      <x:c r="A268" s="39" t="str">
        <x:v>fan</x:v>
      </x:c>
      <x:c r="B268" s="28" t="str"/>
      <x:c r="C268" s="40" t="str">
        <x:v>club 球迷（或影迷、歌迷）俱乐部</x:v>
      </x:c>
      <x:c r="D268" s="68"/>
      <x:c r="E268" s="75"/>
      <x:c r="F268" s="68"/>
      <x:c r="G268" s="74"/>
      <x:c r="H268" s="68"/>
      <x:c r="I268" s="75"/>
      <x:c r="J268" s="68"/>
      <x:c r="K268" s="74"/>
    </x:row>
    <x:row r="269" ht="20" customHeight="1">
      <x:c r="A269" s="41" t="str">
        <x:v>fast</x:v>
      </x:c>
      <x:c r="B269" s="42" t="str"/>
      <x:c r="C269" s="43" t="str">
        <x:v>food 快餐食品</x:v>
      </x:c>
      <x:c r="D269" s="68"/>
      <x:c r="E269" s="76"/>
      <x:c r="F269" s="77"/>
      <x:c r="G269" s="78"/>
      <x:c r="H269" s="68"/>
      <x:c r="I269" s="76"/>
      <x:c r="J269" s="77"/>
      <x:c r="K269" s="78"/>
    </x:row>
    <x:row r="270">
      <x:c r="A270" s="68"/>
      <x:c r="B270" s="68"/>
      <x:c r="C270" s="68"/>
      <x:c r="D270" s="68"/>
      <x:c r="E270" s="68"/>
      <x:c r="F270" s="68"/>
      <x:c r="G270" s="68"/>
      <x:c r="H270" s="68"/>
      <x:c r="I270" s="68"/>
      <x:c r="J270" s="68"/>
      <x:c r="K270" s="68"/>
    </x:row>
    <x:row r="271" ht="27" customHeight="1">
      <x:c r="A271" s="65" t="str">
        <x:v>G 开头单词</x:v>
      </x:c>
      <x:c r="B271" s="66"/>
      <x:c r="C271" s="67"/>
      <x:c r="D271" s="68"/>
      <x:c r="E271" s="69"/>
      <x:c r="F271" s="66"/>
      <x:c r="G271" s="67"/>
      <x:c r="H271" s="68"/>
      <x:c r="I271" s="69"/>
      <x:c r="J271" s="66"/>
      <x:c r="K271" s="67"/>
    </x:row>
    <x:row r="272" ht="19" customHeight="1">
      <x:c r="A272" s="70" t="str">
        <x:v>英文单词 / 短语</x:v>
      </x:c>
      <x:c r="B272" s="71" t="str">
        <x:v>音标</x:v>
      </x:c>
      <x:c r="C272" s="72" t="str">
        <x:v>中文解释</x:v>
      </x:c>
      <x:c r="D272" s="68"/>
      <x:c r="E272" s="70" t="str">
        <x:v>英文单词 / 短语</x:v>
      </x:c>
      <x:c r="F272" s="71" t="str">
        <x:v>音标</x:v>
      </x:c>
      <x:c r="G272" s="72" t="str">
        <x:v>中文解释</x:v>
      </x:c>
      <x:c r="H272" s="68"/>
      <x:c r="I272" s="70" t="str">
        <x:v>英文单词 / 短语</x:v>
      </x:c>
      <x:c r="J272" s="71" t="str">
        <x:v>音标</x:v>
      </x:c>
      <x:c r="K272" s="72" t="str">
        <x:v>中文解释</x:v>
      </x:c>
    </x:row>
    <x:row r="273" ht="17" customHeight="1">
      <x:c r="A273" s="73" t="str">
        <x:v>名词（17）</x:v>
      </x:c>
      <x:c r="B273" s="68"/>
      <x:c r="C273" s="74"/>
      <x:c r="D273" s="68"/>
      <x:c r="E273" s="73" t="str">
        <x:v>形容词（4）</x:v>
      </x:c>
      <x:c r="F273" s="68"/>
      <x:c r="G273" s="74"/>
      <x:c r="H273" s="68"/>
      <x:c r="I273" s="75"/>
      <x:c r="J273" s="68"/>
      <x:c r="K273" s="74"/>
    </x:row>
    <x:row r="274" ht="20" customHeight="1">
      <x:c r="A274" s="37" t="str">
        <x:v>galaxy</x:v>
      </x:c>
      <x:c r="B274" s="21" t="str">
        <x:v>/ˈɡæləksi/</x:v>
      </x:c>
      <x:c r="C274" s="38" t="str">
        <x:v>星系</x:v>
      </x:c>
      <x:c r="D274" s="68"/>
      <x:c r="E274" s="37" t="str">
        <x:v>glad</x:v>
      </x:c>
      <x:c r="F274" s="21" t="str">
        <x:v>/ɡlæd/</x:v>
      </x:c>
      <x:c r="G274" s="38" t="str">
        <x:v>高兴的；欢喜的</x:v>
      </x:c>
      <x:c r="H274" s="68"/>
      <x:c r="I274" s="75"/>
      <x:c r="J274" s="68"/>
      <x:c r="K274" s="74"/>
    </x:row>
    <x:row r="275" ht="20" customHeight="1">
      <x:c r="A275" s="39" t="str">
        <x:v>game</x:v>
      </x:c>
      <x:c r="B275" s="28" t="str">
        <x:v>/ɡeɪm/</x:v>
      </x:c>
      <x:c r="C275" s="40" t="str">
        <x:v>运动项目；游戏</x:v>
      </x:c>
      <x:c r="D275" s="68"/>
      <x:c r="E275" s="39" t="str">
        <x:v>good</x:v>
      </x:c>
      <x:c r="F275" s="28" t="str">
        <x:v>/ɡʊd/</x:v>
      </x:c>
      <x:c r="G275" s="40" t="str">
        <x:v>好的；（行为）有教养的；守规矩的</x:v>
      </x:c>
      <x:c r="H275" s="68"/>
      <x:c r="I275" s="75"/>
      <x:c r="J275" s="68"/>
      <x:c r="K275" s="74"/>
    </x:row>
    <x:row r="276" ht="20" customHeight="1">
      <x:c r="A276" s="37" t="str">
        <x:v>garden</x:v>
      </x:c>
      <x:c r="B276" s="21" t="str">
        <x:v>/ˈɡɑːdn/</x:v>
      </x:c>
      <x:c r="C276" s="38" t="str">
        <x:v>花园</x:v>
      </x:c>
      <x:c r="D276" s="68"/>
      <x:c r="E276" s="37" t="str">
        <x:v>golden</x:v>
      </x:c>
      <x:c r="F276" s="21" t="str">
        <x:v>/ˈɡəʊldən/</x:v>
      </x:c>
      <x:c r="G276" s="38" t="str">
        <x:v>金色的；金的</x:v>
      </x:c>
      <x:c r="H276" s="68"/>
      <x:c r="I276" s="75"/>
      <x:c r="J276" s="68"/>
      <x:c r="K276" s="74"/>
    </x:row>
    <x:row r="277" ht="20" customHeight="1">
      <x:c r="A277" s="39" t="str">
        <x:v>gentleman</x:v>
      </x:c>
      <x:c r="B277" s="28" t="str">
        <x:v>/ˈdʒentlmən/</x:v>
      </x:c>
      <x:c r="C277" s="40" t="str">
        <x:v>先生；男士</x:v>
      </x:c>
      <x:c r="D277" s="68"/>
      <x:c r="E277" s="39" t="str">
        <x:v>German</x:v>
      </x:c>
      <x:c r="F277" s="28" t="str">
        <x:v>/ˈdʒɜːmən/</x:v>
      </x:c>
      <x:c r="G277" s="40" t="str">
        <x:v>德国的；德国人的；德语的</x:v>
      </x:c>
      <x:c r="H277" s="68"/>
      <x:c r="I277" s="75"/>
      <x:c r="J277" s="68"/>
      <x:c r="K277" s="74"/>
    </x:row>
    <x:row r="278" ht="17" customHeight="1">
      <x:c r="A278" s="37" t="str">
        <x:v>German</x:v>
      </x:c>
      <x:c r="B278" s="21" t="str">
        <x:v>/ˈdʒɜːmən/</x:v>
      </x:c>
      <x:c r="C278" s="38" t="str">
        <x:v>德国人；德语</x:v>
      </x:c>
      <x:c r="D278" s="68"/>
      <x:c r="E278" s="73" t="str">
        <x:v>副词（1）</x:v>
      </x:c>
      <x:c r="F278" s="68"/>
      <x:c r="G278" s="74"/>
      <x:c r="H278" s="68"/>
      <x:c r="I278" s="75"/>
      <x:c r="J278" s="68"/>
      <x:c r="K278" s="74"/>
    </x:row>
    <x:row r="279" ht="20" customHeight="1">
      <x:c r="A279" s="39" t="str">
        <x:v>Germany</x:v>
      </x:c>
      <x:c r="B279" s="28" t="str">
        <x:v>/ˈdʒɜːməni/</x:v>
      </x:c>
      <x:c r="C279" s="40" t="str">
        <x:v>德国</x:v>
      </x:c>
      <x:c r="D279" s="68"/>
      <x:c r="E279" s="39" t="str">
        <x:v>无纯副词。</x:v>
      </x:c>
      <x:c r="F279" s="28" t="str"/>
      <x:c r="G279" s="40" t="str"/>
      <x:c r="H279" s="68"/>
      <x:c r="I279" s="75"/>
      <x:c r="J279" s="68"/>
      <x:c r="K279" s="74"/>
    </x:row>
    <x:row r="280" ht="17" customHeight="1">
      <x:c r="A280" s="37" t="str">
        <x:v>gift</x:v>
      </x:c>
      <x:c r="B280" s="21" t="str">
        <x:v>/ɡɪft/</x:v>
      </x:c>
      <x:c r="C280" s="38" t="str">
        <x:v>礼物</x:v>
      </x:c>
      <x:c r="D280" s="68"/>
      <x:c r="E280" s="73" t="str">
        <x:v>介词（1）</x:v>
      </x:c>
      <x:c r="F280" s="68"/>
      <x:c r="G280" s="74"/>
      <x:c r="H280" s="68"/>
      <x:c r="I280" s="75"/>
      <x:c r="J280" s="68"/>
      <x:c r="K280" s="74"/>
    </x:row>
    <x:row r="281" ht="20" customHeight="1">
      <x:c r="A281" s="39" t="str">
        <x:v>glass</x:v>
      </x:c>
      <x:c r="B281" s="28" t="str">
        <x:v>/ɡlɑːs/</x:v>
      </x:c>
      <x:c r="C281" s="40" t="str">
        <x:v>玻璃；（复数）眼镜</x:v>
      </x:c>
      <x:c r="D281" s="68"/>
      <x:c r="E281" s="39" t="str">
        <x:v>无纯介词。</x:v>
      </x:c>
      <x:c r="F281" s="28" t="str"/>
      <x:c r="G281" s="40" t="str"/>
      <x:c r="H281" s="68"/>
      <x:c r="I281" s="75"/>
      <x:c r="J281" s="68"/>
      <x:c r="K281" s="74"/>
    </x:row>
    <x:row r="282" ht="17" customHeight="1">
      <x:c r="A282" s="37" t="str">
        <x:v>glasses</x:v>
      </x:c>
      <x:c r="B282" s="21" t="str">
        <x:v>/ˈɡlɑːsɪz/</x:v>
      </x:c>
      <x:c r="C282" s="38" t="str">
        <x:v>眼镜</x:v>
      </x:c>
      <x:c r="D282" s="68"/>
      <x:c r="E282" s="73" t="str">
        <x:v>短语（4）</x:v>
      </x:c>
      <x:c r="F282" s="68"/>
      <x:c r="G282" s="74"/>
      <x:c r="H282" s="68"/>
      <x:c r="I282" s="75"/>
      <x:c r="J282" s="68"/>
      <x:c r="K282" s="74"/>
    </x:row>
    <x:row r="283" ht="20" customHeight="1">
      <x:c r="A283" s="39" t="str">
        <x:v>glue</x:v>
      </x:c>
      <x:c r="B283" s="28" t="str">
        <x:v>/ɡluː/</x:v>
      </x:c>
      <x:c r="C283" s="40" t="str">
        <x:v>胶水</x:v>
      </x:c>
      <x:c r="D283" s="68"/>
      <x:c r="E283" s="39" t="str">
        <x:v>get</x:v>
      </x:c>
      <x:c r="F283" s="28" t="str"/>
      <x:c r="G283" s="40" t="str">
        <x:v>on well with sb. 与某人相处融洽</x:v>
      </x:c>
      <x:c r="H283" s="68"/>
      <x:c r="I283" s="75"/>
      <x:c r="J283" s="68"/>
      <x:c r="K283" s="74"/>
    </x:row>
    <x:row r="284" ht="20" customHeight="1">
      <x:c r="A284" s="37" t="str">
        <x:v>gold</x:v>
      </x:c>
      <x:c r="B284" s="21" t="str">
        <x:v>/ɡəʊld/</x:v>
      </x:c>
      <x:c r="C284" s="38" t="str">
        <x:v>金色；黄金；金牌</x:v>
      </x:c>
      <x:c r="D284" s="68"/>
      <x:c r="E284" s="37" t="str">
        <x:v>go</x:v>
      </x:c>
      <x:c r="F284" s="21" t="str"/>
      <x:c r="G284" s="38" t="str">
        <x:v>for a walk 散步</x:v>
      </x:c>
      <x:c r="H284" s="68"/>
      <x:c r="I284" s="75"/>
      <x:c r="J284" s="68"/>
      <x:c r="K284" s="74"/>
    </x:row>
    <x:row r="285" ht="20" customHeight="1">
      <x:c r="A285" s="39" t="str">
        <x:v>government</x:v>
      </x:c>
      <x:c r="B285" s="28" t="str">
        <x:v>/ˈɡʌvənmənt/</x:v>
      </x:c>
      <x:c r="C285" s="40" t="str">
        <x:v>政府</x:v>
      </x:c>
      <x:c r="D285" s="68"/>
      <x:c r="E285" s="39" t="str">
        <x:v>go</x:v>
      </x:c>
      <x:c r="F285" s="28" t="str"/>
      <x:c r="G285" s="40" t="str">
        <x:v>over 复习；练习</x:v>
      </x:c>
      <x:c r="H285" s="68"/>
      <x:c r="I285" s="75"/>
      <x:c r="J285" s="68"/>
      <x:c r="K285" s="74"/>
    </x:row>
    <x:row r="286" ht="20" customHeight="1">
      <x:c r="A286" s="37" t="str">
        <x:v>grade</x:v>
      </x:c>
      <x:c r="B286" s="21" t="str">
        <x:v>/ɡreɪd/</x:v>
      </x:c>
      <x:c r="C286" s="38" t="str">
        <x:v>年级；等级</x:v>
      </x:c>
      <x:c r="D286" s="68"/>
      <x:c r="E286" s="37" t="str">
        <x:v>be</x:v>
      </x:c>
      <x:c r="F286" s="21" t="str"/>
      <x:c r="G286" s="38" t="str">
        <x:v>good at 擅长</x:v>
      </x:c>
      <x:c r="H286" s="68"/>
      <x:c r="I286" s="75"/>
      <x:c r="J286" s="68"/>
      <x:c r="K286" s="74"/>
    </x:row>
    <x:row r="287" ht="20" customHeight="1">
      <x:c r="A287" s="39" t="str">
        <x:v>grammar</x:v>
      </x:c>
      <x:c r="B287" s="28" t="str">
        <x:v>/ˈɡræmə/</x:v>
      </x:c>
      <x:c r="C287" s="40" t="str">
        <x:v>语法</x:v>
      </x:c>
      <x:c r="D287" s="68"/>
      <x:c r="E287" s="75"/>
      <x:c r="F287" s="68"/>
      <x:c r="G287" s="74"/>
      <x:c r="H287" s="68"/>
      <x:c r="I287" s="75"/>
      <x:c r="J287" s="68"/>
      <x:c r="K287" s="74"/>
    </x:row>
    <x:row r="288" ht="20" customHeight="1">
      <x:c r="A288" s="37" t="str">
        <x:v>group</x:v>
      </x:c>
      <x:c r="B288" s="21" t="str">
        <x:v>/ɡruːp/</x:v>
      </x:c>
      <x:c r="C288" s="38" t="str">
        <x:v>群；组</x:v>
      </x:c>
      <x:c r="D288" s="68"/>
      <x:c r="E288" s="75"/>
      <x:c r="F288" s="68"/>
      <x:c r="G288" s="74"/>
      <x:c r="H288" s="68"/>
      <x:c r="I288" s="75"/>
      <x:c r="J288" s="68"/>
      <x:c r="K288" s="74"/>
    </x:row>
    <x:row r="289" ht="20" customHeight="1">
      <x:c r="A289" s="39" t="str">
        <x:v>guest</x:v>
      </x:c>
      <x:c r="B289" s="28" t="str">
        <x:v>/ɡest/</x:v>
      </x:c>
      <x:c r="C289" s="40" t="str">
        <x:v>客人；宾客</x:v>
      </x:c>
      <x:c r="D289" s="68"/>
      <x:c r="E289" s="75"/>
      <x:c r="F289" s="68"/>
      <x:c r="G289" s="74"/>
      <x:c r="H289" s="68"/>
      <x:c r="I289" s="75"/>
      <x:c r="J289" s="68"/>
      <x:c r="K289" s="74"/>
    </x:row>
    <x:row r="290" ht="20" customHeight="1">
      <x:c r="A290" s="37" t="str">
        <x:v>guidebook</x:v>
      </x:c>
      <x:c r="B290" s="21" t="str">
        <x:v>/ˈɡaɪdbʊk/</x:v>
      </x:c>
      <x:c r="C290" s="38" t="str">
        <x:v>导游手册；旅行指南</x:v>
      </x:c>
      <x:c r="D290" s="68"/>
      <x:c r="E290" s="75"/>
      <x:c r="F290" s="68"/>
      <x:c r="G290" s="74"/>
      <x:c r="H290" s="68"/>
      <x:c r="I290" s="75"/>
      <x:c r="J290" s="68"/>
      <x:c r="K290" s="74"/>
    </x:row>
    <x:row r="291" ht="17" customHeight="1">
      <x:c r="A291" s="73" t="str">
        <x:v>动词（5）</x:v>
      </x:c>
      <x:c r="B291" s="68"/>
      <x:c r="C291" s="74"/>
      <x:c r="D291" s="68"/>
      <x:c r="E291" s="75"/>
      <x:c r="F291" s="68"/>
      <x:c r="G291" s="74"/>
      <x:c r="H291" s="68"/>
      <x:c r="I291" s="75"/>
      <x:c r="J291" s="68"/>
      <x:c r="K291" s="74"/>
    </x:row>
    <x:row r="292" ht="20" customHeight="1">
      <x:c r="A292" s="37" t="str">
        <x:v>get</x:v>
      </x:c>
      <x:c r="B292" s="21" t="str">
        <x:v>/ɡet/</x:v>
      </x:c>
      <x:c r="C292" s="38" t="str">
        <x:v>变成；成为；得到</x:v>
      </x:c>
      <x:c r="D292" s="68"/>
      <x:c r="E292" s="75"/>
      <x:c r="F292" s="68"/>
      <x:c r="G292" s="74"/>
      <x:c r="H292" s="68"/>
      <x:c r="I292" s="75"/>
      <x:c r="J292" s="68"/>
      <x:c r="K292" s="74"/>
    </x:row>
    <x:row r="293" ht="20" customHeight="1">
      <x:c r="A293" s="39" t="str">
        <x:v>give</x:v>
      </x:c>
      <x:c r="B293" s="28" t="str">
        <x:v>/ɡɪv/</x:v>
      </x:c>
      <x:c r="C293" s="40" t="str">
        <x:v>给；给予</x:v>
      </x:c>
      <x:c r="D293" s="68"/>
      <x:c r="E293" s="75"/>
      <x:c r="F293" s="68"/>
      <x:c r="G293" s="74"/>
      <x:c r="H293" s="68"/>
      <x:c r="I293" s="75"/>
      <x:c r="J293" s="68"/>
      <x:c r="K293" s="74"/>
    </x:row>
    <x:row r="294" ht="20" customHeight="1">
      <x:c r="A294" s="37" t="str">
        <x:v>go</x:v>
      </x:c>
      <x:c r="B294" s="21" t="str">
        <x:v>/ɡəʊ/</x:v>
      </x:c>
      <x:c r="C294" s="38" t="str">
        <x:v>去；走</x:v>
      </x:c>
      <x:c r="D294" s="68"/>
      <x:c r="E294" s="75"/>
      <x:c r="F294" s="68"/>
      <x:c r="G294" s="74"/>
      <x:c r="H294" s="68"/>
      <x:c r="I294" s="75"/>
      <x:c r="J294" s="68"/>
      <x:c r="K294" s="74"/>
    </x:row>
    <x:row r="295" ht="20" customHeight="1">
      <x:c r="A295" s="39" t="str">
        <x:v>grow</x:v>
      </x:c>
      <x:c r="B295" s="28" t="str">
        <x:v>/ɡrəʊ/</x:v>
      </x:c>
      <x:c r="C295" s="40" t="str">
        <x:v>(grew /ɡruː/; grown /ɡrəʊn/) （逐渐）变得；生长；增长</x:v>
      </x:c>
      <x:c r="D295" s="68"/>
      <x:c r="E295" s="75"/>
      <x:c r="F295" s="68"/>
      <x:c r="G295" s="74"/>
      <x:c r="H295" s="68"/>
      <x:c r="I295" s="75"/>
      <x:c r="J295" s="68"/>
      <x:c r="K295" s="74"/>
    </x:row>
    <x:row r="296" ht="20" customHeight="1">
      <x:c r="A296" s="41" t="str">
        <x:v>guess</x:v>
      </x:c>
      <x:c r="B296" s="42" t="str">
        <x:v>/ɡes/</x:v>
      </x:c>
      <x:c r="C296" s="43" t="str">
        <x:v>猜；猜测</x:v>
      </x:c>
      <x:c r="D296" s="68"/>
      <x:c r="E296" s="76"/>
      <x:c r="F296" s="77"/>
      <x:c r="G296" s="78"/>
      <x:c r="H296" s="68"/>
      <x:c r="I296" s="76"/>
      <x:c r="J296" s="77"/>
      <x:c r="K296" s="78"/>
    </x:row>
    <x:row r="297">
      <x:c r="A297" s="68"/>
      <x:c r="B297" s="68"/>
      <x:c r="C297" s="68"/>
      <x:c r="D297" s="68"/>
      <x:c r="E297" s="68"/>
      <x:c r="F297" s="68"/>
      <x:c r="G297" s="68"/>
      <x:c r="H297" s="68"/>
      <x:c r="I297" s="68"/>
      <x:c r="J297" s="68"/>
      <x:c r="K297" s="68"/>
    </x:row>
    <x:row r="298" ht="27" customHeight="1">
      <x:c r="A298" s="65" t="str">
        <x:v>H 开头单词（1/2）</x:v>
      </x:c>
      <x:c r="B298" s="66"/>
      <x:c r="C298" s="67"/>
      <x:c r="D298" s="68"/>
      <x:c r="E298" s="69"/>
      <x:c r="F298" s="66"/>
      <x:c r="G298" s="67"/>
      <x:c r="H298" s="68"/>
      <x:c r="I298" s="69"/>
      <x:c r="J298" s="66"/>
      <x:c r="K298" s="67"/>
    </x:row>
    <x:row r="299" ht="19" customHeight="1">
      <x:c r="A299" s="70" t="str">
        <x:v>英文单词 / 短语</x:v>
      </x:c>
      <x:c r="B299" s="71" t="str">
        <x:v>音标</x:v>
      </x:c>
      <x:c r="C299" s="72" t="str">
        <x:v>中文解释</x:v>
      </x:c>
      <x:c r="D299" s="68"/>
      <x:c r="E299" s="70" t="str">
        <x:v>英文单词 / 短语</x:v>
      </x:c>
      <x:c r="F299" s="71" t="str">
        <x:v>音标</x:v>
      </x:c>
      <x:c r="G299" s="72" t="str">
        <x:v>中文解释</x:v>
      </x:c>
      <x:c r="H299" s="68"/>
      <x:c r="I299" s="70" t="str">
        <x:v>英文单词 / 短语</x:v>
      </x:c>
      <x:c r="J299" s="71" t="str">
        <x:v>音标</x:v>
      </x:c>
      <x:c r="K299" s="72" t="str">
        <x:v>中文解释</x:v>
      </x:c>
    </x:row>
    <x:row r="300" ht="20" customHeight="1">
      <x:c r="A300" s="73" t="str">
        <x:v>名词（33）</x:v>
      </x:c>
      <x:c r="B300" s="68"/>
      <x:c r="C300" s="74"/>
      <x:c r="D300" s="68"/>
      <x:c r="E300" s="39" t="str">
        <x:v>hope</x:v>
      </x:c>
      <x:c r="F300" s="28" t="str">
        <x:v>/həʊp/</x:v>
      </x:c>
      <x:c r="G300" s="40" t="str">
        <x:v>希望（兼作动词）</x:v>
      </x:c>
      <x:c r="H300" s="68"/>
      <x:c r="I300" s="39" t="str">
        <x:v>harmful</x:v>
      </x:c>
      <x:c r="J300" s="28" t="str">
        <x:v>/ˈhɑːmfl/</x:v>
      </x:c>
      <x:c r="K300" s="40" t="str">
        <x:v>有害的</x:v>
      </x:c>
    </x:row>
    <x:row r="301" ht="20" customHeight="1">
      <x:c r="A301" s="37" t="str">
        <x:v>hair</x:v>
      </x:c>
      <x:c r="B301" s="21" t="str">
        <x:v>/heə/</x:v>
      </x:c>
      <x:c r="C301" s="38" t="str">
        <x:v>头发</x:v>
      </x:c>
      <x:c r="D301" s="68"/>
      <x:c r="E301" s="37" t="str">
        <x:v>horse</x:v>
      </x:c>
      <x:c r="F301" s="21" t="str">
        <x:v>/hɔːs/</x:v>
      </x:c>
      <x:c r="G301" s="38" t="str">
        <x:v>马</x:v>
      </x:c>
      <x:c r="H301" s="68"/>
      <x:c r="I301" s="37" t="str">
        <x:v>helpful</x:v>
      </x:c>
      <x:c r="J301" s="21" t="str">
        <x:v>/ˈhelpfl/</x:v>
      </x:c>
      <x:c r="K301" s="38" t="str">
        <x:v>有用的；提供帮助的</x:v>
      </x:c>
    </x:row>
    <x:row r="302" ht="20" customHeight="1">
      <x:c r="A302" s="39" t="str">
        <x:v>half</x:v>
      </x:c>
      <x:c r="B302" s="28" t="str">
        <x:v>/hɑːf/</x:v>
      </x:c>
      <x:c r="C302" s="40" t="str">
        <x:v>一半</x:v>
      </x:c>
      <x:c r="D302" s="68"/>
      <x:c r="E302" s="39" t="str">
        <x:v>hospital</x:v>
      </x:c>
      <x:c r="F302" s="28" t="str">
        <x:v>/ˈhɒspɪtl/</x:v>
      </x:c>
      <x:c r="G302" s="40" t="str">
        <x:v>医院</x:v>
      </x:c>
      <x:c r="H302" s="68"/>
      <x:c r="I302" s="39" t="str">
        <x:v>healthy</x:v>
      </x:c>
      <x:c r="J302" s="28" t="str">
        <x:v>/ˈhelθi/</x:v>
      </x:c>
      <x:c r="K302" s="40" t="str">
        <x:v>健康的</x:v>
      </x:c>
    </x:row>
    <x:row r="303" ht="20" customHeight="1">
      <x:c r="A303" s="37" t="str">
        <x:v>hamburger</x:v>
      </x:c>
      <x:c r="B303" s="21" t="str">
        <x:v>/ˈhæmbɜːɡə/</x:v>
      </x:c>
      <x:c r="C303" s="38" t="str">
        <x:v>汉堡包</x:v>
      </x:c>
      <x:c r="D303" s="68"/>
      <x:c r="E303" s="37" t="str">
        <x:v>hotel</x:v>
      </x:c>
      <x:c r="F303" s="21" t="str">
        <x:v>/həʊˈtel/</x:v>
      </x:c>
      <x:c r="G303" s="38" t="str">
        <x:v>饭店；宾馆</x:v>
      </x:c>
      <x:c r="H303" s="68"/>
      <x:c r="I303" s="37" t="str">
        <x:v>heavy</x:v>
      </x:c>
      <x:c r="J303" s="21" t="str">
        <x:v>/ˈhevi/</x:v>
      </x:c>
      <x:c r="K303" s="38" t="str">
        <x:v>繁重的；沉的</x:v>
      </x:c>
    </x:row>
    <x:row r="304" ht="20" customHeight="1">
      <x:c r="A304" s="39" t="str">
        <x:v>hand</x:v>
      </x:c>
      <x:c r="B304" s="28" t="str">
        <x:v>/hænd/</x:v>
      </x:c>
      <x:c r="C304" s="40" t="str">
        <x:v>手</x:v>
      </x:c>
      <x:c r="D304" s="68"/>
      <x:c r="E304" s="39" t="str">
        <x:v>hour</x:v>
      </x:c>
      <x:c r="F304" s="28" t="str">
        <x:v>/ˈaʊə/</x:v>
      </x:c>
      <x:c r="G304" s="40" t="str">
        <x:v>小时</x:v>
      </x:c>
      <x:c r="H304" s="68"/>
      <x:c r="I304" s="39" t="str">
        <x:v>high</x:v>
      </x:c>
      <x:c r="J304" s="28" t="str">
        <x:v>/haɪ/</x:v>
      </x:c>
      <x:c r="K304" s="40" t="str">
        <x:v>高的</x:v>
      </x:c>
    </x:row>
    <x:row r="305" ht="20" customHeight="1">
      <x:c r="A305" s="37" t="str">
        <x:v>happy</x:v>
      </x:c>
      <x:c r="B305" s="21" t="str">
        <x:v>/ˈhæpi/</x:v>
      </x:c>
      <x:c r="C305" s="38" t="str">
        <x:v>快乐的人（兼作形容词）</x:v>
      </x:c>
      <x:c r="D305" s="68"/>
      <x:c r="E305" s="37" t="str">
        <x:v>house</x:v>
      </x:c>
      <x:c r="F305" s="21" t="str">
        <x:v>/haʊs/</x:v>
      </x:c>
      <x:c r="G305" s="38" t="str">
        <x:v>房子；住宅</x:v>
      </x:c>
      <x:c r="H305" s="68"/>
      <x:c r="I305" s="37" t="str">
        <x:v>hot</x:v>
      </x:c>
      <x:c r="J305" s="21" t="str">
        <x:v>/hɒt/</x:v>
      </x:c>
      <x:c r="K305" s="38" t="str">
        <x:v>热的</x:v>
      </x:c>
    </x:row>
    <x:row r="306" ht="20" customHeight="1">
      <x:c r="A306" s="39" t="str">
        <x:v>head</x:v>
      </x:c>
      <x:c r="B306" s="28" t="str">
        <x:v>/hed/</x:v>
      </x:c>
      <x:c r="C306" s="40" t="str">
        <x:v>头；头部</x:v>
      </x:c>
      <x:c r="D306" s="68"/>
      <x:c r="E306" s="39" t="str">
        <x:v>housework</x:v>
      </x:c>
      <x:c r="F306" s="28" t="str">
        <x:v>/ˈhaʊswɜːk/</x:v>
      </x:c>
      <x:c r="G306" s="40" t="str">
        <x:v>家务劳动</x:v>
      </x:c>
      <x:c r="H306" s="68"/>
      <x:c r="I306" s="39" t="str">
        <x:v>hungry</x:v>
      </x:c>
      <x:c r="J306" s="28" t="str">
        <x:v>/ˈhʌŋɡri/</x:v>
      </x:c>
      <x:c r="K306" s="40" t="str">
        <x:v>饥饿的；感到饿的</x:v>
      </x:c>
    </x:row>
    <x:row r="307" ht="20" customHeight="1">
      <x:c r="A307" s="37" t="str">
        <x:v>headache</x:v>
      </x:c>
      <x:c r="B307" s="21" t="str">
        <x:v>/ˈhedeɪk/</x:v>
      </x:c>
      <x:c r="C307" s="38" t="str">
        <x:v>头痛</x:v>
      </x:c>
      <x:c r="D307" s="68"/>
      <x:c r="E307" s="37" t="str">
        <x:v>human</x:v>
      </x:c>
      <x:c r="F307" s="21" t="str">
        <x:v>/ˈhjuːmən/</x:v>
      </x:c>
      <x:c r="G307" s="38" t="str">
        <x:v>人；人类</x:v>
      </x:c>
      <x:c r="H307" s="68"/>
      <x:c r="I307" s="37" t="str">
        <x:v>humorous</x:v>
      </x:c>
      <x:c r="J307" s="21" t="str">
        <x:v>/ˈhjuːmərəs/</x:v>
      </x:c>
      <x:c r="K307" s="38" t="str">
        <x:v>幽默的；滑稽的</x:v>
      </x:c>
    </x:row>
    <x:row r="308" ht="17" customHeight="1">
      <x:c r="A308" s="39" t="str">
        <x:v>health</x:v>
      </x:c>
      <x:c r="B308" s="28" t="str">
        <x:v>/helθ/</x:v>
      </x:c>
      <x:c r="C308" s="40" t="str">
        <x:v>健康；健康状况</x:v>
      </x:c>
      <x:c r="D308" s="68"/>
      <x:c r="E308" s="39" t="str">
        <x:v>hundred</x:v>
      </x:c>
      <x:c r="F308" s="28" t="str">
        <x:v>/ˈhʌndrəd/</x:v>
      </x:c>
      <x:c r="G308" s="40" t="str">
        <x:v>百；一百</x:v>
      </x:c>
      <x:c r="H308" s="68"/>
      <x:c r="I308" s="73" t="str">
        <x:v>副词（5）</x:v>
      </x:c>
      <x:c r="J308" s="68"/>
      <x:c r="K308" s="74"/>
    </x:row>
    <x:row r="309" ht="20" customHeight="1">
      <x:c r="A309" s="37" t="str">
        <x:v>heart</x:v>
      </x:c>
      <x:c r="B309" s="21" t="str">
        <x:v>/hɑːt/</x:v>
      </x:c>
      <x:c r="C309" s="38" t="str">
        <x:v>心；心脏</x:v>
      </x:c>
      <x:c r="D309" s="68"/>
      <x:c r="E309" s="37" t="str">
        <x:v>husband</x:v>
      </x:c>
      <x:c r="F309" s="21" t="str">
        <x:v>/ˈhʌzbənd/</x:v>
      </x:c>
      <x:c r="G309" s="38" t="str">
        <x:v>丈夫</x:v>
      </x:c>
      <x:c r="H309" s="68"/>
      <x:c r="I309" s="37" t="str">
        <x:v>hard</x:v>
      </x:c>
      <x:c r="J309" s="21" t="str">
        <x:v>/hɑːd/</x:v>
      </x:c>
      <x:c r="K309" s="38" t="str">
        <x:v>努力地；猛烈地</x:v>
      </x:c>
    </x:row>
    <x:row r="310" ht="20" customHeight="1">
      <x:c r="A310" s="39" t="str">
        <x:v>heaven</x:v>
      </x:c>
      <x:c r="B310" s="28" t="str">
        <x:v>/ˈhevn/</x:v>
      </x:c>
      <x:c r="C310" s="40" t="str">
        <x:v>天国；天堂</x:v>
      </x:c>
      <x:c r="D310" s="68"/>
      <x:c r="E310" s="73" t="str">
        <x:v>动词（10）</x:v>
      </x:c>
      <x:c r="F310" s="68"/>
      <x:c r="G310" s="74"/>
      <x:c r="H310" s="68"/>
      <x:c r="I310" s="39" t="str">
        <x:v>hardly</x:v>
      </x:c>
      <x:c r="J310" s="28" t="str">
        <x:v>/ˈhɑːdli/</x:v>
      </x:c>
      <x:c r="K310" s="40" t="str">
        <x:v>几乎不；几乎没有</x:v>
      </x:c>
    </x:row>
    <x:row r="311" ht="20" customHeight="1">
      <x:c r="A311" s="37" t="str">
        <x:v>heavy</x:v>
      </x:c>
      <x:c r="B311" s="21" t="str">
        <x:v>/ˈhevi/</x:v>
      </x:c>
      <x:c r="C311" s="38" t="str">
        <x:v>重物（兼作形容词）</x:v>
      </x:c>
      <x:c r="D311" s="68"/>
      <x:c r="E311" s="37" t="str">
        <x:v>happen</x:v>
      </x:c>
      <x:c r="F311" s="21" t="str">
        <x:v>/ˈhæpən/</x:v>
      </x:c>
      <x:c r="G311" s="38" t="str">
        <x:v>发生</x:v>
      </x:c>
      <x:c r="H311" s="68"/>
      <x:c r="I311" s="37" t="str">
        <x:v>here</x:v>
      </x:c>
      <x:c r="J311" s="21" t="str">
        <x:v>/hɪə/</x:v>
      </x:c>
      <x:c r="K311" s="38" t="str">
        <x:v>这里；在这里</x:v>
      </x:c>
    </x:row>
    <x:row r="312" ht="20" customHeight="1">
      <x:c r="A312" s="39" t="str">
        <x:v>height</x:v>
      </x:c>
      <x:c r="B312" s="28" t="str">
        <x:v>/haɪt/</x:v>
      </x:c>
      <x:c r="C312" s="40" t="str">
        <x:v>高度</x:v>
      </x:c>
      <x:c r="D312" s="68"/>
      <x:c r="E312" s="39" t="str">
        <x:v>hate</x:v>
      </x:c>
      <x:c r="F312" s="28" t="str">
        <x:v>/heɪt/</x:v>
      </x:c>
      <x:c r="G312" s="40" t="str">
        <x:v>憎恨；厌恶</x:v>
      </x:c>
      <x:c r="H312" s="68"/>
      <x:c r="I312" s="39" t="str">
        <x:v>high</x:v>
      </x:c>
      <x:c r="J312" s="28" t="str">
        <x:v>/haɪ/</x:v>
      </x:c>
      <x:c r="K312" s="40" t="str">
        <x:v>高；高高地</x:v>
      </x:c>
    </x:row>
    <x:row r="313" ht="20" customHeight="1">
      <x:c r="A313" s="37" t="str">
        <x:v>hello</x:v>
      </x:c>
      <x:c r="B313" s="21" t="str">
        <x:v>/həˈləʊ/</x:v>
      </x:c>
      <x:c r="C313" s="38" t="str">
        <x:v>问候；招呼（兼作感叹词）</x:v>
      </x:c>
      <x:c r="D313" s="68"/>
      <x:c r="E313" s="37" t="str">
        <x:v>have</x:v>
      </x:c>
      <x:c r="F313" s="21" t="str">
        <x:v>/hæv; həv/</x:v>
      </x:c>
      <x:c r="G313" s="38" t="str">
        <x:v>(has /hæz; həz/; had /hæd/) 有；拥有；吃；喝</x:v>
      </x:c>
      <x:c r="H313" s="68"/>
      <x:c r="I313" s="37" t="str">
        <x:v>home</x:v>
      </x:c>
      <x:c r="J313" s="21" t="str">
        <x:v>/həʊm/</x:v>
      </x:c>
      <x:c r="K313" s="38" t="str">
        <x:v>到家；在家；回家</x:v>
      </x:c>
    </x:row>
    <x:row r="314" ht="17" customHeight="1">
      <x:c r="A314" s="39" t="str">
        <x:v>help</x:v>
      </x:c>
      <x:c r="B314" s="28" t="str">
        <x:v>/help/</x:v>
      </x:c>
      <x:c r="C314" s="40" t="str">
        <x:v>帮助；援助（兼作动词）</x:v>
      </x:c>
      <x:c r="D314" s="68"/>
      <x:c r="E314" s="39" t="str">
        <x:v>hear</x:v>
      </x:c>
      <x:c r="F314" s="28" t="str">
        <x:v>/hɪə/</x:v>
      </x:c>
      <x:c r="G314" s="40" t="str">
        <x:v>(heard /hɜːd/; heard) 听见；听到</x:v>
      </x:c>
      <x:c r="H314" s="68"/>
      <x:c r="I314" s="73" t="str">
        <x:v>介词（1）</x:v>
      </x:c>
      <x:c r="J314" s="68"/>
      <x:c r="K314" s="74"/>
    </x:row>
    <x:row r="315" ht="20" customHeight="1">
      <x:c r="A315" s="37" t="str">
        <x:v>hero</x:v>
      </x:c>
      <x:c r="B315" s="21" t="str">
        <x:v>/ˈhɪərəʊ/</x:v>
      </x:c>
      <x:c r="C315" s="38" t="str">
        <x:v>英雄；男主角</x:v>
      </x:c>
      <x:c r="D315" s="68"/>
      <x:c r="E315" s="37" t="str">
        <x:v>help</x:v>
      </x:c>
      <x:c r="F315" s="21" t="str">
        <x:v>/help/</x:v>
      </x:c>
      <x:c r="G315" s="38" t="str">
        <x:v>帮助；援助</x:v>
      </x:c>
      <x:c r="H315" s="68"/>
      <x:c r="I315" s="37" t="str">
        <x:v>无纯介词。</x:v>
      </x:c>
      <x:c r="J315" s="21" t="str"/>
      <x:c r="K315" s="38" t="str"/>
    </x:row>
    <x:row r="316" ht="17" customHeight="1">
      <x:c r="A316" s="39" t="str">
        <x:v>herself</x:v>
      </x:c>
      <x:c r="B316" s="28" t="str">
        <x:v>/hɜːˈself/</x:v>
      </x:c>
      <x:c r="C316" s="40" t="str">
        <x:v>她自己（兼作代词）</x:v>
      </x:c>
      <x:c r="D316" s="68"/>
      <x:c r="E316" s="39" t="str">
        <x:v>hide</x:v>
      </x:c>
      <x:c r="F316" s="28" t="str">
        <x:v>/haɪd/</x:v>
      </x:c>
      <x:c r="G316" s="40" t="str">
        <x:v>(hid /hɪd/; hidden /ˈhɪdn/) 躲；躲藏；隐藏</x:v>
      </x:c>
      <x:c r="H316" s="68"/>
      <x:c r="I316" s="73" t="str">
        <x:v>代词（6）</x:v>
      </x:c>
      <x:c r="J316" s="68"/>
      <x:c r="K316" s="74"/>
    </x:row>
    <x:row r="317" ht="20" customHeight="1">
      <x:c r="A317" s="37" t="str">
        <x:v>hide</x:v>
      </x:c>
      <x:c r="B317" s="21" t="str">
        <x:v>/haɪd/</x:v>
      </x:c>
      <x:c r="C317" s="38" t="str">
        <x:v>隐藏处（兼作动词）</x:v>
      </x:c>
      <x:c r="D317" s="68"/>
      <x:c r="E317" s="37" t="str">
        <x:v>hit</x:v>
      </x:c>
      <x:c r="F317" s="21" t="str">
        <x:v>/hɪt/</x:v>
      </x:c>
      <x:c r="G317" s="38" t="str">
        <x:v>(hit; hit) 碰撞；打；击</x:v>
      </x:c>
      <x:c r="H317" s="68"/>
      <x:c r="I317" s="37" t="str">
        <x:v>he</x:v>
      </x:c>
      <x:c r="J317" s="21" t="str">
        <x:v>/hiː; iː/</x:v>
      </x:c>
      <x:c r="K317" s="38" t="str">
        <x:v>他</x:v>
      </x:c>
    </x:row>
    <x:row r="318" ht="20" customHeight="1">
      <x:c r="A318" s="39" t="str">
        <x:v>high</x:v>
      </x:c>
      <x:c r="B318" s="28" t="str">
        <x:v>/haɪ/</x:v>
      </x:c>
      <x:c r="C318" s="40" t="str">
        <x:v>高处（兼作形容词/副词）</x:v>
      </x:c>
      <x:c r="D318" s="68"/>
      <x:c r="E318" s="39" t="str">
        <x:v>hold</x:v>
      </x:c>
      <x:c r="F318" s="28" t="str">
        <x:v>/həʊld/</x:v>
      </x:c>
      <x:c r="G318" s="40" t="str">
        <x:v>(held /held/; held) 握着；抓住；使不动</x:v>
      </x:c>
      <x:c r="H318" s="68"/>
      <x:c r="I318" s="39" t="str">
        <x:v>her</x:v>
      </x:c>
      <x:c r="J318" s="28" t="str">
        <x:v>/hɜː; ə/</x:v>
      </x:c>
      <x:c r="K318" s="40" t="str">
        <x:v>她（宾格）；她的（形容词性物主代词）</x:v>
      </x:c>
    </x:row>
    <x:row r="319" ht="20" customHeight="1">
      <x:c r="A319" s="37" t="str">
        <x:v>hill</x:v>
      </x:c>
      <x:c r="B319" s="21" t="str">
        <x:v>/hɪl/</x:v>
      </x:c>
      <x:c r="C319" s="38" t="str">
        <x:v>小山；小丘</x:v>
      </x:c>
      <x:c r="D319" s="68"/>
      <x:c r="E319" s="37" t="str">
        <x:v>hope</x:v>
      </x:c>
      <x:c r="F319" s="21" t="str">
        <x:v>/həʊp/</x:v>
      </x:c>
      <x:c r="G319" s="38" t="str">
        <x:v>希望</x:v>
      </x:c>
      <x:c r="H319" s="68"/>
      <x:c r="I319" s="37" t="str">
        <x:v>hers</x:v>
      </x:c>
      <x:c r="J319" s="21" t="str">
        <x:v>/hɜːz/</x:v>
      </x:c>
      <x:c r="K319" s="38" t="str">
        <x:v>她的（名词性物主代词）</x:v>
      </x:c>
    </x:row>
    <x:row r="320" ht="20" customHeight="1">
      <x:c r="A320" s="39" t="str">
        <x:v>hobby</x:v>
      </x:c>
      <x:c r="B320" s="28" t="str">
        <x:v>/ˈhɒbi/</x:v>
      </x:c>
      <x:c r="C320" s="40" t="str">
        <x:v>业余爱好</x:v>
      </x:c>
      <x:c r="D320" s="68"/>
      <x:c r="E320" s="39" t="str">
        <x:v>hurry</x:v>
      </x:c>
      <x:c r="F320" s="28" t="str">
        <x:v>/ˈhʌri/</x:v>
      </x:c>
      <x:c r="G320" s="40" t="str">
        <x:v>赶快；匆忙</x:v>
      </x:c>
      <x:c r="H320" s="68"/>
      <x:c r="I320" s="39" t="str">
        <x:v>herself</x:v>
      </x:c>
      <x:c r="J320" s="28" t="str">
        <x:v>/hɜːˈself/</x:v>
      </x:c>
      <x:c r="K320" s="40" t="str">
        <x:v>她自己</x:v>
      </x:c>
    </x:row>
    <x:row r="321" ht="20" customHeight="1">
      <x:c r="A321" s="37" t="str">
        <x:v>home</x:v>
      </x:c>
      <x:c r="B321" s="21" t="str">
        <x:v>/həʊm/</x:v>
      </x:c>
      <x:c r="C321" s="38" t="str">
        <x:v>家；家庭（兼作副词/形容词）</x:v>
      </x:c>
      <x:c r="D321" s="68"/>
      <x:c r="E321" s="73" t="str">
        <x:v>形容词（10）</x:v>
      </x:c>
      <x:c r="F321" s="68"/>
      <x:c r="G321" s="74"/>
      <x:c r="H321" s="68"/>
      <x:c r="I321" s="37" t="str">
        <x:v>him</x:v>
      </x:c>
      <x:c r="J321" s="21" t="str">
        <x:v>/hɪm/</x:v>
      </x:c>
      <x:c r="K321" s="38" t="str">
        <x:v>他（宾格）</x:v>
      </x:c>
    </x:row>
    <x:row r="322" ht="20" customHeight="1">
      <x:c r="A322" s="39" t="str">
        <x:v>hometown</x:v>
      </x:c>
      <x:c r="B322" s="28" t="str">
        <x:v>/ˈhəʊmtaʊn/</x:v>
      </x:c>
      <x:c r="C322" s="40" t="str">
        <x:v>故乡；家乡</x:v>
      </x:c>
      <x:c r="D322" s="68"/>
      <x:c r="E322" s="39" t="str">
        <x:v>happy</x:v>
      </x:c>
      <x:c r="F322" s="28" t="str">
        <x:v>/ˈhæpi/</x:v>
      </x:c>
      <x:c r="G322" s="40" t="str">
        <x:v>高兴的；幸福的</x:v>
      </x:c>
      <x:c r="H322" s="68"/>
      <x:c r="I322" s="39" t="str">
        <x:v>his</x:v>
      </x:c>
      <x:c r="J322" s="28" t="str">
        <x:v>/hɪz/</x:v>
      </x:c>
      <x:c r="K322" s="40" t="str">
        <x:v>他的（形容词性/名词性物主代词）</x:v>
      </x:c>
    </x:row>
    <x:row r="323" ht="17" customHeight="1">
      <x:c r="A323" s="41" t="str">
        <x:v>homework</x:v>
      </x:c>
      <x:c r="B323" s="42" t="str">
        <x:v>/ˈhəʊmwɜːk/</x:v>
      </x:c>
      <x:c r="C323" s="43" t="str">
        <x:v>家庭作业</x:v>
      </x:c>
      <x:c r="D323" s="68"/>
      <x:c r="E323" s="41" t="str">
        <x:v>hard</x:v>
      </x:c>
      <x:c r="F323" s="42" t="str">
        <x:v>/hɑːd/</x:v>
      </x:c>
      <x:c r="G323" s="43" t="str">
        <x:v>艰难的；困难的；硬的</x:v>
      </x:c>
      <x:c r="H323" s="68"/>
      <x:c r="I323" s="79" t="str">
        <x:v>数词（2）</x:v>
      </x:c>
      <x:c r="J323" s="77"/>
      <x:c r="K323" s="78"/>
    </x:row>
    <x:row r="324">
      <x:c r="A324" s="68"/>
      <x:c r="B324" s="68"/>
      <x:c r="C324" s="68"/>
      <x:c r="D324" s="68"/>
      <x:c r="E324" s="68"/>
      <x:c r="F324" s="68"/>
      <x:c r="G324" s="68"/>
      <x:c r="H324" s="68"/>
      <x:c r="I324" s="68"/>
      <x:c r="J324" s="68"/>
      <x:c r="K324" s="68"/>
    </x:row>
    <x:row r="325" ht="27" customHeight="1">
      <x:c r="A325" s="65" t="str">
        <x:v>H 开头单词（2/2）</x:v>
      </x:c>
      <x:c r="B325" s="66"/>
      <x:c r="C325" s="67"/>
      <x:c r="D325" s="68"/>
      <x:c r="E325" s="69"/>
      <x:c r="F325" s="66"/>
      <x:c r="G325" s="67"/>
      <x:c r="H325" s="68"/>
      <x:c r="I325" s="69"/>
      <x:c r="J325" s="66"/>
      <x:c r="K325" s="67"/>
    </x:row>
    <x:row r="326" ht="19" customHeight="1">
      <x:c r="A326" s="70" t="str">
        <x:v>英文单词 / 短语</x:v>
      </x:c>
      <x:c r="B326" s="71" t="str">
        <x:v>音标</x:v>
      </x:c>
      <x:c r="C326" s="72" t="str">
        <x:v>中文解释</x:v>
      </x:c>
      <x:c r="D326" s="68"/>
      <x:c r="E326" s="70" t="str">
        <x:v>英文单词 / 短语</x:v>
      </x:c>
      <x:c r="F326" s="71" t="str">
        <x:v>音标</x:v>
      </x:c>
      <x:c r="G326" s="72" t="str">
        <x:v>中文解释</x:v>
      </x:c>
      <x:c r="H326" s="68"/>
      <x:c r="I326" s="70" t="str">
        <x:v>英文单词 / 短语</x:v>
      </x:c>
      <x:c r="J326" s="71" t="str">
        <x:v>音标</x:v>
      </x:c>
      <x:c r="K326" s="72" t="str">
        <x:v>中文解释</x:v>
      </x:c>
    </x:row>
    <x:row r="327" ht="20" customHeight="1">
      <x:c r="A327" s="39" t="str">
        <x:v>half</x:v>
      </x:c>
      <x:c r="B327" s="28" t="str">
        <x:v>/hɑːf/</x:v>
      </x:c>
      <x:c r="C327" s="40" t="str">
        <x:v>一半；二分之一</x:v>
      </x:c>
      <x:c r="D327" s="68"/>
      <x:c r="E327" s="75"/>
      <x:c r="F327" s="68"/>
      <x:c r="G327" s="74"/>
      <x:c r="H327" s="68"/>
      <x:c r="I327" s="75"/>
      <x:c r="J327" s="68"/>
      <x:c r="K327" s="74"/>
    </x:row>
    <x:row r="328" ht="20" customHeight="1">
      <x:c r="A328" s="37" t="str">
        <x:v>hundred</x:v>
      </x:c>
      <x:c r="B328" s="21" t="str">
        <x:v>/ˈhʌndrəd/</x:v>
      </x:c>
      <x:c r="C328" s="38" t="str">
        <x:v>百；一百</x:v>
      </x:c>
      <x:c r="D328" s="68"/>
      <x:c r="E328" s="75"/>
      <x:c r="F328" s="68"/>
      <x:c r="G328" s="74"/>
      <x:c r="H328" s="68"/>
      <x:c r="I328" s="75"/>
      <x:c r="J328" s="68"/>
      <x:c r="K328" s="74"/>
    </x:row>
    <x:row r="329" ht="17" customHeight="1">
      <x:c r="A329" s="73" t="str">
        <x:v>感叹词（4）</x:v>
      </x:c>
      <x:c r="B329" s="68"/>
      <x:c r="C329" s="74"/>
      <x:c r="D329" s="68"/>
      <x:c r="E329" s="75"/>
      <x:c r="F329" s="68"/>
      <x:c r="G329" s="74"/>
      <x:c r="H329" s="68"/>
      <x:c r="I329" s="75"/>
      <x:c r="J329" s="68"/>
      <x:c r="K329" s="74"/>
    </x:row>
    <x:row r="330" ht="20" customHeight="1">
      <x:c r="A330" s="37" t="str">
        <x:v>ha ha</x:v>
      </x:c>
      <x:c r="B330" s="21" t="str">
        <x:v>/hɑː hɑː/</x:v>
      </x:c>
      <x:c r="C330" s="38" t="str">
        <x:v>哈哈（表笑声）</x:v>
      </x:c>
      <x:c r="D330" s="68"/>
      <x:c r="E330" s="75"/>
      <x:c r="F330" s="68"/>
      <x:c r="G330" s="74"/>
      <x:c r="H330" s="68"/>
      <x:c r="I330" s="75"/>
      <x:c r="J330" s="68"/>
      <x:c r="K330" s="74"/>
    </x:row>
    <x:row r="331" ht="20" customHeight="1">
      <x:c r="A331" s="39" t="str">
        <x:v>hello</x:v>
      </x:c>
      <x:c r="B331" s="28" t="str">
        <x:v>/həˈləʊ/</x:v>
      </x:c>
      <x:c r="C331" s="40" t="str">
        <x:v>喂；你好</x:v>
      </x:c>
      <x:c r="D331" s="68"/>
      <x:c r="E331" s="75"/>
      <x:c r="F331" s="68"/>
      <x:c r="G331" s="74"/>
      <x:c r="H331" s="68"/>
      <x:c r="I331" s="75"/>
      <x:c r="J331" s="68"/>
      <x:c r="K331" s="74"/>
    </x:row>
    <x:row r="332" ht="20" customHeight="1">
      <x:c r="A332" s="37" t="str">
        <x:v>hey</x:v>
      </x:c>
      <x:c r="B332" s="21" t="str">
        <x:v>/heɪ/</x:v>
      </x:c>
      <x:c r="C332" s="38" t="str">
        <x:v>嘿；喂</x:v>
      </x:c>
      <x:c r="D332" s="68"/>
      <x:c r="E332" s="75"/>
      <x:c r="F332" s="68"/>
      <x:c r="G332" s="74"/>
      <x:c r="H332" s="68"/>
      <x:c r="I332" s="75"/>
      <x:c r="J332" s="68"/>
      <x:c r="K332" s="74"/>
    </x:row>
    <x:row r="333" ht="20" customHeight="1">
      <x:c r="A333" s="39" t="str">
        <x:v>hi</x:v>
      </x:c>
      <x:c r="B333" s="28" t="str">
        <x:v>/haɪ/</x:v>
      </x:c>
      <x:c r="C333" s="40" t="str">
        <x:v>嗨；喂</x:v>
      </x:c>
      <x:c r="D333" s="68"/>
      <x:c r="E333" s="75"/>
      <x:c r="F333" s="68"/>
      <x:c r="G333" s="74"/>
      <x:c r="H333" s="68"/>
      <x:c r="I333" s="75"/>
      <x:c r="J333" s="68"/>
      <x:c r="K333" s="74"/>
    </x:row>
    <x:row r="334" ht="17" customHeight="1">
      <x:c r="A334" s="73" t="str">
        <x:v>短语（12）</x:v>
      </x:c>
      <x:c r="B334" s="68"/>
      <x:c r="C334" s="74"/>
      <x:c r="D334" s="68"/>
      <x:c r="E334" s="75"/>
      <x:c r="F334" s="68"/>
      <x:c r="G334" s="74"/>
      <x:c r="H334" s="68"/>
      <x:c r="I334" s="75"/>
      <x:c r="J334" s="68"/>
      <x:c r="K334" s="74"/>
    </x:row>
    <x:row r="335" ht="20" customHeight="1">
      <x:c r="A335" s="39" t="str">
        <x:v>hang</x:v>
      </x:c>
      <x:c r="B335" s="28" t="str"/>
      <x:c r="C335" s="40" t="str">
        <x:v>on [口] 稍等</x:v>
      </x:c>
      <x:c r="D335" s="68"/>
      <x:c r="E335" s="75"/>
      <x:c r="F335" s="68"/>
      <x:c r="G335" s="74"/>
      <x:c r="H335" s="68"/>
      <x:c r="I335" s="75"/>
      <x:c r="J335" s="68"/>
      <x:c r="K335" s="74"/>
    </x:row>
    <x:row r="336" ht="20" customHeight="1">
      <x:c r="A336" s="37" t="str">
        <x:v>head</x:v>
      </x:c>
      <x:c r="B336" s="21" t="str"/>
      <x:c r="C336" s="38" t="str">
        <x:v>teacher 校长</x:v>
      </x:c>
      <x:c r="D336" s="68"/>
      <x:c r="E336" s="75"/>
      <x:c r="F336" s="68"/>
      <x:c r="G336" s="74"/>
      <x:c r="H336" s="68"/>
      <x:c r="I336" s="75"/>
      <x:c r="J336" s="68"/>
      <x:c r="K336" s="74"/>
    </x:row>
    <x:row r="337" ht="20" customHeight="1">
      <x:c r="A337" s="39" t="str">
        <x:v>hear</x:v>
      </x:c>
      <x:c r="B337" s="28" t="str"/>
      <x:c r="C337" s="40" t="str">
        <x:v>from 收到……的来信</x:v>
      </x:c>
      <x:c r="D337" s="68"/>
      <x:c r="E337" s="75"/>
      <x:c r="F337" s="68"/>
      <x:c r="G337" s="74"/>
      <x:c r="H337" s="68"/>
      <x:c r="I337" s="75"/>
      <x:c r="J337" s="68"/>
      <x:c r="K337" s="74"/>
    </x:row>
    <x:row r="338" ht="20" customHeight="1">
      <x:c r="A338" s="37" t="str">
        <x:v>How</x:v>
      </x:c>
      <x:c r="B338" s="21" t="str"/>
      <x:c r="C338" s="38" t="str">
        <x:v>about...? （征求意见）……好吗？……行吗？</x:v>
      </x:c>
      <x:c r="D338" s="68"/>
      <x:c r="E338" s="75"/>
      <x:c r="F338" s="68"/>
      <x:c r="G338" s="74"/>
      <x:c r="H338" s="68"/>
      <x:c r="I338" s="75"/>
      <x:c r="J338" s="68"/>
      <x:c r="K338" s="74"/>
    </x:row>
    <x:row r="339" ht="20" customHeight="1">
      <x:c r="A339" s="39" t="str">
        <x:v>hundreds</x:v>
      </x:c>
      <x:c r="B339" s="28" t="str"/>
      <x:c r="C339" s="40" t="str">
        <x:v>of 几百；成百上千</x:v>
      </x:c>
      <x:c r="D339" s="68"/>
      <x:c r="E339" s="75"/>
      <x:c r="F339" s="68"/>
      <x:c r="G339" s="74"/>
      <x:c r="H339" s="68"/>
      <x:c r="I339" s="75"/>
      <x:c r="J339" s="68"/>
      <x:c r="K339" s="74"/>
    </x:row>
    <x:row r="340" ht="20" customHeight="1">
      <x:c r="A340" s="37" t="str">
        <x:v>hurry</x:v>
      </x:c>
      <x:c r="B340" s="21" t="str"/>
      <x:c r="C340" s="38" t="str">
        <x:v>up 赶快；赶快</x:v>
      </x:c>
      <x:c r="D340" s="68"/>
      <x:c r="E340" s="75"/>
      <x:c r="F340" s="68"/>
      <x:c r="G340" s="74"/>
      <x:c r="H340" s="68"/>
      <x:c r="I340" s="75"/>
      <x:c r="J340" s="68"/>
      <x:c r="K340" s="74"/>
    </x:row>
    <x:row r="341" ht="20" customHeight="1">
      <x:c r="A341" s="39" t="str">
        <x:v>have</x:v>
      </x:c>
      <x:c r="B341" s="28" t="str"/>
      <x:c r="C341" s="40" t="str">
        <x:v>a look 看一看</x:v>
      </x:c>
      <x:c r="D341" s="68"/>
      <x:c r="E341" s="75"/>
      <x:c r="F341" s="68"/>
      <x:c r="G341" s="74"/>
      <x:c r="H341" s="68"/>
      <x:c r="I341" s="75"/>
      <x:c r="J341" s="68"/>
      <x:c r="K341" s="74"/>
    </x:row>
    <x:row r="342" ht="20" customHeight="1">
      <x:c r="A342" s="37" t="str">
        <x:v>have</x:v>
      </x:c>
      <x:c r="B342" s="21" t="str"/>
      <x:c r="C342" s="38" t="str">
        <x:v>a good time 玩得高兴</x:v>
      </x:c>
      <x:c r="D342" s="68"/>
      <x:c r="E342" s="75"/>
      <x:c r="F342" s="68"/>
      <x:c r="G342" s="74"/>
      <x:c r="H342" s="68"/>
      <x:c r="I342" s="75"/>
      <x:c r="J342" s="68"/>
      <x:c r="K342" s="74"/>
    </x:row>
    <x:row r="343" ht="20" customHeight="1">
      <x:c r="A343" s="39" t="str">
        <x:v>have</x:v>
      </x:c>
      <x:c r="B343" s="28" t="str"/>
      <x:c r="C343" s="40" t="str">
        <x:v>got 有；拥有</x:v>
      </x:c>
      <x:c r="D343" s="68"/>
      <x:c r="E343" s="75"/>
      <x:c r="F343" s="68"/>
      <x:c r="G343" s="74"/>
      <x:c r="H343" s="68"/>
      <x:c r="I343" s="75"/>
      <x:c r="J343" s="68"/>
      <x:c r="K343" s="74"/>
    </x:row>
    <x:row r="344" ht="20" customHeight="1">
      <x:c r="A344" s="37" t="str">
        <x:v>hold</x:v>
      </x:c>
      <x:c r="B344" s="21" t="str"/>
      <x:c r="C344" s="38" t="str">
        <x:v>on 等一下；别挂断</x:v>
      </x:c>
      <x:c r="D344" s="68"/>
      <x:c r="E344" s="75"/>
      <x:c r="F344" s="68"/>
      <x:c r="G344" s="74"/>
      <x:c r="H344" s="68"/>
      <x:c r="I344" s="75"/>
      <x:c r="J344" s="68"/>
      <x:c r="K344" s="74"/>
    </x:row>
    <x:row r="345" ht="20" customHeight="1">
      <x:c r="A345" s="39" t="str">
        <x:v>home</x:v>
      </x:c>
      <x:c r="B345" s="28" t="str"/>
      <x:c r="C345" s="40" t="str">
        <x:v>stay 家庭寄宿</x:v>
      </x:c>
      <x:c r="D345" s="68"/>
      <x:c r="E345" s="75"/>
      <x:c r="F345" s="68"/>
      <x:c r="G345" s="74"/>
      <x:c r="H345" s="68"/>
      <x:c r="I345" s="75"/>
      <x:c r="J345" s="68"/>
      <x:c r="K345" s="74"/>
    </x:row>
    <x:row r="346" ht="20" customHeight="1">
      <x:c r="A346" s="37" t="str">
        <x:v>hot</x:v>
      </x:c>
      <x:c r="B346" s="21" t="str"/>
      <x:c r="C346" s="38" t="str">
        <x:v>dog 热狗（一种中间夹香肠的三明治）</x:v>
      </x:c>
      <x:c r="D346" s="68"/>
      <x:c r="E346" s="75"/>
      <x:c r="F346" s="68"/>
      <x:c r="G346" s="74"/>
      <x:c r="H346" s="68"/>
      <x:c r="I346" s="75"/>
      <x:c r="J346" s="68"/>
      <x:c r="K346" s="74"/>
    </x:row>
    <x:row r="347">
      <x:c r="A347" s="75"/>
      <x:c r="B347" s="68"/>
      <x:c r="C347" s="74"/>
      <x:c r="D347" s="68"/>
      <x:c r="E347" s="75"/>
      <x:c r="F347" s="68"/>
      <x:c r="G347" s="74"/>
      <x:c r="H347" s="68"/>
      <x:c r="I347" s="75"/>
      <x:c r="J347" s="68"/>
      <x:c r="K347" s="74"/>
    </x:row>
    <x:row r="348">
      <x:c r="A348" s="75"/>
      <x:c r="B348" s="68"/>
      <x:c r="C348" s="74"/>
      <x:c r="D348" s="68"/>
      <x:c r="E348" s="75"/>
      <x:c r="F348" s="68"/>
      <x:c r="G348" s="74"/>
      <x:c r="H348" s="68"/>
      <x:c r="I348" s="75"/>
      <x:c r="J348" s="68"/>
      <x:c r="K348" s="74"/>
    </x:row>
    <x:row r="349">
      <x:c r="A349" s="75"/>
      <x:c r="B349" s="68"/>
      <x:c r="C349" s="74"/>
      <x:c r="D349" s="68"/>
      <x:c r="E349" s="75"/>
      <x:c r="F349" s="68"/>
      <x:c r="G349" s="74"/>
      <x:c r="H349" s="68"/>
      <x:c r="I349" s="75"/>
      <x:c r="J349" s="68"/>
      <x:c r="K349" s="74"/>
    </x:row>
    <x:row r="350">
      <x:c r="A350" s="76"/>
      <x:c r="B350" s="77"/>
      <x:c r="C350" s="78"/>
      <x:c r="D350" s="68"/>
      <x:c r="E350" s="76"/>
      <x:c r="F350" s="77"/>
      <x:c r="G350" s="78"/>
      <x:c r="H350" s="68"/>
      <x:c r="I350" s="76"/>
      <x:c r="J350" s="77"/>
      <x:c r="K350" s="78"/>
    </x:row>
    <x:row r="351">
      <x:c r="A351" s="68"/>
      <x:c r="B351" s="68"/>
      <x:c r="C351" s="68"/>
      <x:c r="D351" s="68"/>
      <x:c r="E351" s="68"/>
      <x:c r="F351" s="68"/>
      <x:c r="G351" s="68"/>
      <x:c r="H351" s="68"/>
      <x:c r="I351" s="68"/>
      <x:c r="J351" s="68"/>
      <x:c r="K351" s="68"/>
    </x:row>
    <x:row r="352" ht="27" customHeight="1">
      <x:c r="A352" s="65" t="str">
        <x:v>I 开头单词</x:v>
      </x:c>
      <x:c r="B352" s="66"/>
      <x:c r="C352" s="67"/>
      <x:c r="D352" s="68"/>
      <x:c r="E352" s="69"/>
      <x:c r="F352" s="66"/>
      <x:c r="G352" s="67"/>
      <x:c r="H352" s="68"/>
      <x:c r="I352" s="69"/>
      <x:c r="J352" s="66"/>
      <x:c r="K352" s="67"/>
    </x:row>
    <x:row r="353" ht="19" customHeight="1">
      <x:c r="A353" s="70" t="str">
        <x:v>英文单词 / 短语</x:v>
      </x:c>
      <x:c r="B353" s="71" t="str">
        <x:v>音标</x:v>
      </x:c>
      <x:c r="C353" s="72" t="str">
        <x:v>中文解释</x:v>
      </x:c>
      <x:c r="D353" s="68"/>
      <x:c r="E353" s="70" t="str">
        <x:v>英文单词 / 短语</x:v>
      </x:c>
      <x:c r="F353" s="71" t="str">
        <x:v>音标</x:v>
      </x:c>
      <x:c r="G353" s="72" t="str">
        <x:v>中文解释</x:v>
      </x:c>
      <x:c r="H353" s="68"/>
      <x:c r="I353" s="70" t="str">
        <x:v>英文单词 / 短语</x:v>
      </x:c>
      <x:c r="J353" s="71" t="str">
        <x:v>音标</x:v>
      </x:c>
      <x:c r="K353" s="72" t="str">
        <x:v>中文解释</x:v>
      </x:c>
    </x:row>
    <x:row r="354" ht="20" customHeight="1">
      <x:c r="A354" s="73" t="str">
        <x:v>名词（10）</x:v>
      </x:c>
      <x:c r="B354" s="68"/>
      <x:c r="C354" s="74"/>
      <x:c r="D354" s="68"/>
      <x:c r="E354" s="39" t="str">
        <x:v>interested</x:v>
      </x:c>
      <x:c r="F354" s="28" t="str">
        <x:v>/ˈɪntrəstɪd/</x:v>
      </x:c>
      <x:c r="G354" s="40" t="str">
        <x:v>关心的；感兴趣的</x:v>
      </x:c>
      <x:c r="H354" s="68"/>
      <x:c r="I354" s="39" t="str">
        <x:v>in</x:v>
      </x:c>
      <x:c r="J354" s="28" t="str"/>
      <x:c r="K354" s="40" t="str">
        <x:v>the 1860s 在19世纪60年代</x:v>
      </x:c>
    </x:row>
    <x:row r="355" ht="20" customHeight="1">
      <x:c r="A355" s="37" t="str">
        <x:v>ice</x:v>
      </x:c>
      <x:c r="B355" s="21" t="str">
        <x:v>/aɪs/</x:v>
      </x:c>
      <x:c r="C355" s="38" t="str">
        <x:v>冰</x:v>
      </x:c>
      <x:c r="D355" s="68"/>
      <x:c r="E355" s="37" t="str">
        <x:v>interesting</x:v>
      </x:c>
      <x:c r="F355" s="21" t="str">
        <x:v>/ˈɪntrəstɪŋ/</x:v>
      </x:c>
      <x:c r="G355" s="38" t="str">
        <x:v>有趣的</x:v>
      </x:c>
      <x:c r="H355" s="68"/>
      <x:c r="I355" s="75"/>
      <x:c r="J355" s="68"/>
      <x:c r="K355" s="74"/>
    </x:row>
    <x:row r="356" ht="20" customHeight="1">
      <x:c r="A356" s="39" t="str">
        <x:v>ice cream</x:v>
      </x:c>
      <x:c r="B356" s="28" t="str">
        <x:v>/aɪs kriːm/</x:v>
      </x:c>
      <x:c r="C356" s="40" t="str">
        <x:v>冰激凌</x:v>
      </x:c>
      <x:c r="D356" s="68"/>
      <x:c r="E356" s="39" t="str">
        <x:v>international</x:v>
      </x:c>
      <x:c r="F356" s="28" t="str">
        <x:v>/ˌɪntəˈnæʃnəl/</x:v>
      </x:c>
      <x:c r="G356" s="40" t="str">
        <x:v>国际的；世界的</x:v>
      </x:c>
      <x:c r="H356" s="68"/>
      <x:c r="I356" s="75"/>
      <x:c r="J356" s="68"/>
      <x:c r="K356" s="74"/>
    </x:row>
    <x:row r="357" ht="20" customHeight="1">
      <x:c r="A357" s="37" t="str">
        <x:v>idea</x:v>
      </x:c>
      <x:c r="B357" s="21" t="str">
        <x:v>/aɪˈdɪə/</x:v>
      </x:c>
      <x:c r="C357" s="38" t="str">
        <x:v>想法；主意</x:v>
      </x:c>
      <x:c r="D357" s="68"/>
      <x:c r="E357" s="37" t="str">
        <x:v>inside</x:v>
      </x:c>
      <x:c r="F357" s="21" t="str">
        <x:v>/ˌɪnˈsaɪd/</x:v>
      </x:c>
      <x:c r="G357" s="38" t="str">
        <x:v>里面的；内部的</x:v>
      </x:c>
      <x:c r="H357" s="68"/>
      <x:c r="I357" s="75"/>
      <x:c r="J357" s="68"/>
      <x:c r="K357" s="74"/>
    </x:row>
    <x:row r="358" ht="17" customHeight="1">
      <x:c r="A358" s="39" t="str">
        <x:v>illness</x:v>
      </x:c>
      <x:c r="B358" s="28" t="str">
        <x:v>/ˈɪlnəs/</x:v>
      </x:c>
      <x:c r="C358" s="40" t="str">
        <x:v>病；疾病</x:v>
      </x:c>
      <x:c r="D358" s="68"/>
      <x:c r="E358" s="73" t="str">
        <x:v>副词（3）</x:v>
      </x:c>
      <x:c r="F358" s="68"/>
      <x:c r="G358" s="74"/>
      <x:c r="H358" s="68"/>
      <x:c r="I358" s="75"/>
      <x:c r="J358" s="68"/>
      <x:c r="K358" s="74"/>
    </x:row>
    <x:row r="359" ht="20" customHeight="1">
      <x:c r="A359" s="37" t="str">
        <x:v>information</x:v>
      </x:c>
      <x:c r="B359" s="21" t="str">
        <x:v>/ˌɪnfəˈmeɪʃn/</x:v>
      </x:c>
      <x:c r="C359" s="38" t="str">
        <x:v>信息</x:v>
      </x:c>
      <x:c r="D359" s="68"/>
      <x:c r="E359" s="37" t="str">
        <x:v>immediately</x:v>
      </x:c>
      <x:c r="F359" s="21" t="str">
        <x:v>/ɪˈmiːdiətli/</x:v>
      </x:c>
      <x:c r="G359" s="38" t="str">
        <x:v>立刻；当即</x:v>
      </x:c>
      <x:c r="H359" s="68"/>
      <x:c r="I359" s="75"/>
      <x:c r="J359" s="68"/>
      <x:c r="K359" s="74"/>
    </x:row>
    <x:row r="360" ht="20" customHeight="1">
      <x:c r="A360" s="39" t="str">
        <x:v>interest</x:v>
      </x:c>
      <x:c r="B360" s="28" t="str">
        <x:v>/ˈɪntrəst/</x:v>
      </x:c>
      <x:c r="C360" s="40" t="str">
        <x:v>兴趣；爱好</x:v>
      </x:c>
      <x:c r="D360" s="68"/>
      <x:c r="E360" s="39" t="str">
        <x:v>in</x:v>
      </x:c>
      <x:c r="F360" s="28" t="str">
        <x:v>/ɪn/</x:v>
      </x:c>
      <x:c r="G360" s="40" t="str">
        <x:v>在家；进入（兼作介词）</x:v>
      </x:c>
      <x:c r="H360" s="68"/>
      <x:c r="I360" s="75"/>
      <x:c r="J360" s="68"/>
      <x:c r="K360" s="74"/>
    </x:row>
    <x:row r="361" ht="20" customHeight="1">
      <x:c r="A361" s="37" t="str">
        <x:v>Internet</x:v>
      </x:c>
      <x:c r="B361" s="21" t="str">
        <x:v>/ˈɪntənet/</x:v>
      </x:c>
      <x:c r="C361" s="38" t="str">
        <x:v>因特网</x:v>
      </x:c>
      <x:c r="D361" s="68"/>
      <x:c r="E361" s="37" t="str">
        <x:v>inside</x:v>
      </x:c>
      <x:c r="F361" s="21" t="str">
        <x:v>/ˌɪnˈsaɪd/</x:v>
      </x:c>
      <x:c r="G361" s="38" t="str">
        <x:v>在里面；向室内（兼作介词/形容词）</x:v>
      </x:c>
      <x:c r="H361" s="68"/>
      <x:c r="I361" s="75"/>
      <x:c r="J361" s="68"/>
      <x:c r="K361" s="74"/>
    </x:row>
    <x:row r="362" ht="17" customHeight="1">
      <x:c r="A362" s="39" t="str">
        <x:v>interview</x:v>
      </x:c>
      <x:c r="B362" s="28" t="str">
        <x:v>/ˈɪntəvjuː/</x:v>
      </x:c>
      <x:c r="C362" s="40" t="str">
        <x:v>采访；访谈</x:v>
      </x:c>
      <x:c r="D362" s="68"/>
      <x:c r="E362" s="73" t="str">
        <x:v>介词（2）</x:v>
      </x:c>
      <x:c r="F362" s="68"/>
      <x:c r="G362" s="74"/>
      <x:c r="H362" s="68"/>
      <x:c r="I362" s="75"/>
      <x:c r="J362" s="68"/>
      <x:c r="K362" s="74"/>
    </x:row>
    <x:row r="363" ht="20" customHeight="1">
      <x:c r="A363" s="37" t="str">
        <x:v>island</x:v>
      </x:c>
      <x:c r="B363" s="21" t="str">
        <x:v>/ˈaɪlənd/</x:v>
      </x:c>
      <x:c r="C363" s="38" t="str">
        <x:v>岛；岛屿</x:v>
      </x:c>
      <x:c r="D363" s="68"/>
      <x:c r="E363" s="37" t="str">
        <x:v>in</x:v>
      </x:c>
      <x:c r="F363" s="21" t="str">
        <x:v>/ɪn/</x:v>
      </x:c>
      <x:c r="G363" s="38" t="str">
        <x:v>参加；加入；在……期间；用；按照；以（某方式或风格）；在……里面；使用（某种语言）</x:v>
      </x:c>
      <x:c r="H363" s="68"/>
      <x:c r="I363" s="75"/>
      <x:c r="J363" s="68"/>
      <x:c r="K363" s="74"/>
    </x:row>
    <x:row r="364" ht="20" customHeight="1">
      <x:c r="A364" s="39" t="str">
        <x:v>IT</x:v>
      </x:c>
      <x:c r="B364" s="28" t="str">
        <x:v>/ˌaɪˈtiː/</x:v>
      </x:c>
      <x:c r="C364" s="40" t="str">
        <x:v>信息技术</x:v>
      </x:c>
      <x:c r="D364" s="68"/>
      <x:c r="E364" s="39" t="str">
        <x:v>into</x:v>
      </x:c>
      <x:c r="F364" s="28" t="str">
        <x:v>/ˈɪntuː; ˈɪntə/</x:v>
      </x:c>
      <x:c r="G364" s="40" t="str">
        <x:v>进入……里面</x:v>
      </x:c>
      <x:c r="H364" s="68"/>
      <x:c r="I364" s="75"/>
      <x:c r="J364" s="68"/>
      <x:c r="K364" s="74"/>
    </x:row>
    <x:row r="365" ht="17" customHeight="1">
      <x:c r="A365" s="73" t="str">
        <x:v>动词（8）</x:v>
      </x:c>
      <x:c r="B365" s="68"/>
      <x:c r="C365" s="74"/>
      <x:c r="D365" s="68"/>
      <x:c r="E365" s="73" t="str">
        <x:v>连词（1）</x:v>
      </x:c>
      <x:c r="F365" s="68"/>
      <x:c r="G365" s="74"/>
      <x:c r="H365" s="68"/>
      <x:c r="I365" s="75"/>
      <x:c r="J365" s="68"/>
      <x:c r="K365" s="74"/>
    </x:row>
    <x:row r="366" ht="20" customHeight="1">
      <x:c r="A366" s="39" t="str">
        <x:v>imagine</x:v>
      </x:c>
      <x:c r="B366" s="28" t="str">
        <x:v>/ɪˈmædʒɪn/</x:v>
      </x:c>
      <x:c r="C366" s="40" t="str">
        <x:v>想象；设想</x:v>
      </x:c>
      <x:c r="D366" s="68"/>
      <x:c r="E366" s="39" t="str">
        <x:v>if</x:v>
      </x:c>
      <x:c r="F366" s="28" t="str">
        <x:v>/ɪf/</x:v>
      </x:c>
      <x:c r="G366" s="40" t="str">
        <x:v>如果；若</x:v>
      </x:c>
      <x:c r="H366" s="68"/>
      <x:c r="I366" s="75"/>
      <x:c r="J366" s="68"/>
      <x:c r="K366" s="74"/>
    </x:row>
    <x:row r="367" ht="17" customHeight="1">
      <x:c r="A367" s="37" t="str">
        <x:v>improve</x:v>
      </x:c>
      <x:c r="B367" s="21" t="str">
        <x:v>/ɪmˈpruːv/</x:v>
      </x:c>
      <x:c r="C367" s="38" t="str">
        <x:v>改进；改善</x:v>
      </x:c>
      <x:c r="D367" s="68"/>
      <x:c r="E367" s="73" t="str">
        <x:v>代词（3）</x:v>
      </x:c>
      <x:c r="F367" s="68"/>
      <x:c r="G367" s="74"/>
      <x:c r="H367" s="68"/>
      <x:c r="I367" s="75"/>
      <x:c r="J367" s="68"/>
      <x:c r="K367" s="74"/>
    </x:row>
    <x:row r="368" ht="20" customHeight="1">
      <x:c r="A368" s="39" t="str">
        <x:v>include</x:v>
      </x:c>
      <x:c r="B368" s="28" t="str">
        <x:v>/ɪnˈkluːd/</x:v>
      </x:c>
      <x:c r="C368" s="40" t="str">
        <x:v>包括；把……列为一部分</x:v>
      </x:c>
      <x:c r="D368" s="68"/>
      <x:c r="E368" s="39" t="str">
        <x:v>I</x:v>
      </x:c>
      <x:c r="F368" s="28" t="str">
        <x:v>/aɪ/</x:v>
      </x:c>
      <x:c r="G368" s="40" t="str">
        <x:v>我</x:v>
      </x:c>
      <x:c r="H368" s="68"/>
      <x:c r="I368" s="75"/>
      <x:c r="J368" s="68"/>
      <x:c r="K368" s="74"/>
    </x:row>
    <x:row r="369" ht="20" customHeight="1">
      <x:c r="A369" s="37" t="str">
        <x:v>increase</x:v>
      </x:c>
      <x:c r="B369" s="21" t="str">
        <x:v>/ɪnˈkriːs/</x:v>
      </x:c>
      <x:c r="C369" s="38" t="str">
        <x:v>增大；增长</x:v>
      </x:c>
      <x:c r="D369" s="68"/>
      <x:c r="E369" s="37" t="str">
        <x:v>it</x:v>
      </x:c>
      <x:c r="F369" s="21" t="str">
        <x:v>/ɪt/</x:v>
      </x:c>
      <x:c r="G369" s="38" t="str">
        <x:v>它</x:v>
      </x:c>
      <x:c r="H369" s="68"/>
      <x:c r="I369" s="75"/>
      <x:c r="J369" s="68"/>
      <x:c r="K369" s="74"/>
    </x:row>
    <x:row r="370" ht="20" customHeight="1">
      <x:c r="A370" s="39" t="str">
        <x:v>introduce</x:v>
      </x:c>
      <x:c r="B370" s="28" t="str">
        <x:v>/ˌɪntrəˈdjuːs/</x:v>
      </x:c>
      <x:c r="C370" s="40" t="str">
        <x:v>介绍；引见</x:v>
      </x:c>
      <x:c r="D370" s="68"/>
      <x:c r="E370" s="39" t="str">
        <x:v>its</x:v>
      </x:c>
      <x:c r="F370" s="28" t="str">
        <x:v>/ɪts/</x:v>
      </x:c>
      <x:c r="G370" s="40" t="str">
        <x:v>它的</x:v>
      </x:c>
      <x:c r="H370" s="68"/>
      <x:c r="I370" s="75"/>
      <x:c r="J370" s="68"/>
      <x:c r="K370" s="74"/>
    </x:row>
    <x:row r="371" ht="17" customHeight="1">
      <x:c r="A371" s="37" t="str">
        <x:v>invent</x:v>
      </x:c>
      <x:c r="B371" s="21" t="str">
        <x:v>/ɪnˈvent/</x:v>
      </x:c>
      <x:c r="C371" s="38" t="str">
        <x:v>发明；创造</x:v>
      </x:c>
      <x:c r="D371" s="68"/>
      <x:c r="E371" s="73" t="str">
        <x:v>短语（7）</x:v>
      </x:c>
      <x:c r="F371" s="68"/>
      <x:c r="G371" s="74"/>
      <x:c r="H371" s="68"/>
      <x:c r="I371" s="75"/>
      <x:c r="J371" s="68"/>
      <x:c r="K371" s="74"/>
    </x:row>
    <x:row r="372" ht="20" customHeight="1">
      <x:c r="A372" s="39" t="str">
        <x:v>invite</x:v>
      </x:c>
      <x:c r="B372" s="28" t="str">
        <x:v>/ɪnˈvaɪt/</x:v>
      </x:c>
      <x:c r="C372" s="40" t="str">
        <x:v>邀请</x:v>
      </x:c>
      <x:c r="D372" s="68"/>
      <x:c r="E372" s="39" t="str">
        <x:v>be</x:v>
      </x:c>
      <x:c r="F372" s="28" t="str"/>
      <x:c r="G372" s="40" t="str">
        <x:v>interested in 对……感兴趣</x:v>
      </x:c>
      <x:c r="H372" s="68"/>
      <x:c r="I372" s="75"/>
      <x:c r="J372" s="68"/>
      <x:c r="K372" s="74"/>
    </x:row>
    <x:row r="373" ht="20" customHeight="1">
      <x:c r="A373" s="37" t="str">
        <x:v>is</x:v>
      </x:c>
      <x:c r="B373" s="21" t="str">
        <x:v>/ɪz/</x:v>
      </x:c>
      <x:c r="C373" s="38" t="str">
        <x:v>是（动词be的第三人称单数现在式）</x:v>
      </x:c>
      <x:c r="D373" s="68"/>
      <x:c r="E373" s="37" t="str">
        <x:v>in</x:v>
      </x:c>
      <x:c r="F373" s="21" t="str"/>
      <x:c r="G373" s="38" t="str">
        <x:v>a hurry 匆匆忙忙</x:v>
      </x:c>
      <x:c r="H373" s="68"/>
      <x:c r="I373" s="75"/>
      <x:c r="J373" s="68"/>
      <x:c r="K373" s="74"/>
    </x:row>
    <x:row r="374" ht="20" customHeight="1">
      <x:c r="A374" s="73" t="str">
        <x:v>形容词（7）</x:v>
      </x:c>
      <x:c r="B374" s="68"/>
      <x:c r="C374" s="74"/>
      <x:c r="D374" s="68"/>
      <x:c r="E374" s="39" t="str">
        <x:v>in</x:v>
      </x:c>
      <x:c r="F374" s="28" t="str"/>
      <x:c r="G374" s="40" t="str">
        <x:v>English 用英语</x:v>
      </x:c>
      <x:c r="H374" s="68"/>
      <x:c r="I374" s="75"/>
      <x:c r="J374" s="68"/>
      <x:c r="K374" s="74"/>
    </x:row>
    <x:row r="375" ht="20" customHeight="1">
      <x:c r="A375" s="37" t="str">
        <x:v>ill</x:v>
      </x:c>
      <x:c r="B375" s="21" t="str">
        <x:v>/ɪl/</x:v>
      </x:c>
      <x:c r="C375" s="38" t="str">
        <x:v>不健康的；有病的</x:v>
      </x:c>
      <x:c r="D375" s="68"/>
      <x:c r="E375" s="37" t="str">
        <x:v>in</x:v>
      </x:c>
      <x:c r="F375" s="21" t="str"/>
      <x:c r="G375" s="38" t="str">
        <x:v>order to 为了</x:v>
      </x:c>
      <x:c r="H375" s="68"/>
      <x:c r="I375" s="75"/>
      <x:c r="J375" s="68"/>
      <x:c r="K375" s="74"/>
    </x:row>
    <x:row r="376" ht="20" customHeight="1">
      <x:c r="A376" s="39" t="str">
        <x:v>important</x:v>
      </x:c>
      <x:c r="B376" s="28" t="str">
        <x:v>/ɪmˈpɔːtnt/</x:v>
      </x:c>
      <x:c r="C376" s="40" t="str">
        <x:v>重要的</x:v>
      </x:c>
      <x:c r="D376" s="68"/>
      <x:c r="E376" s="39" t="str">
        <x:v>in</x:v>
      </x:c>
      <x:c r="F376" s="28" t="str"/>
      <x:c r="G376" s="40" t="str">
        <x:v>person 亲自；本人</x:v>
      </x:c>
      <x:c r="H376" s="68"/>
      <x:c r="I376" s="75"/>
      <x:c r="J376" s="68"/>
      <x:c r="K376" s="74"/>
    </x:row>
    <x:row r="377" ht="20" customHeight="1">
      <x:c r="A377" s="41" t="str">
        <x:v>impossible</x:v>
      </x:c>
      <x:c r="B377" s="42" t="str">
        <x:v>/ɪmˈpɒsəbl/</x:v>
      </x:c>
      <x:c r="C377" s="43" t="str">
        <x:v>办不到的；不可能的</x:v>
      </x:c>
      <x:c r="D377" s="68"/>
      <x:c r="E377" s="41" t="str">
        <x:v>in</x:v>
      </x:c>
      <x:c r="F377" s="42" t="str"/>
      <x:c r="G377" s="43" t="str">
        <x:v>time 及时</x:v>
      </x:c>
      <x:c r="H377" s="68"/>
      <x:c r="I377" s="76"/>
      <x:c r="J377" s="77"/>
      <x:c r="K377" s="78"/>
    </x:row>
    <x:row r="378">
      <x:c r="A378" s="68"/>
      <x:c r="B378" s="68"/>
      <x:c r="C378" s="68"/>
      <x:c r="D378" s="68"/>
      <x:c r="E378" s="68"/>
      <x:c r="F378" s="68"/>
      <x:c r="G378" s="68"/>
      <x:c r="H378" s="68"/>
      <x:c r="I378" s="68"/>
      <x:c r="J378" s="68"/>
      <x:c r="K378" s="68"/>
    </x:row>
    <x:row r="379" ht="27" customHeight="1">
      <x:c r="A379" s="65" t="str">
        <x:v>J 开头单词</x:v>
      </x:c>
      <x:c r="B379" s="66"/>
      <x:c r="C379" s="67"/>
      <x:c r="D379" s="68"/>
      <x:c r="E379" s="69"/>
      <x:c r="F379" s="66"/>
      <x:c r="G379" s="67"/>
      <x:c r="H379" s="68"/>
      <x:c r="I379" s="69"/>
      <x:c r="J379" s="66"/>
      <x:c r="K379" s="67"/>
    </x:row>
    <x:row r="380" ht="19" customHeight="1">
      <x:c r="A380" s="70" t="str">
        <x:v>英文单词 / 短语</x:v>
      </x:c>
      <x:c r="B380" s="71" t="str">
        <x:v>音标</x:v>
      </x:c>
      <x:c r="C380" s="72" t="str">
        <x:v>中文解释</x:v>
      </x:c>
      <x:c r="D380" s="68"/>
      <x:c r="E380" s="70" t="str">
        <x:v>英文单词 / 短语</x:v>
      </x:c>
      <x:c r="F380" s="71" t="str">
        <x:v>音标</x:v>
      </x:c>
      <x:c r="G380" s="72" t="str">
        <x:v>中文解释</x:v>
      </x:c>
      <x:c r="H380" s="68"/>
      <x:c r="I380" s="70" t="str">
        <x:v>英文单词 / 短语</x:v>
      </x:c>
      <x:c r="J380" s="71" t="str">
        <x:v>音标</x:v>
      </x:c>
      <x:c r="K380" s="72" t="str">
        <x:v>中文解释</x:v>
      </x:c>
    </x:row>
    <x:row r="381" ht="17" customHeight="1">
      <x:c r="A381" s="73" t="str">
        <x:v>名词（3）</x:v>
      </x:c>
      <x:c r="B381" s="68"/>
      <x:c r="C381" s="74"/>
      <x:c r="D381" s="68"/>
      <x:c r="E381" s="75"/>
      <x:c r="F381" s="68"/>
      <x:c r="G381" s="74"/>
      <x:c r="H381" s="68"/>
      <x:c r="I381" s="75"/>
      <x:c r="J381" s="68"/>
      <x:c r="K381" s="74"/>
    </x:row>
    <x:row r="382" ht="20" customHeight="1">
      <x:c r="A382" s="37" t="str">
        <x:v>January</x:v>
      </x:c>
      <x:c r="B382" s="21" t="str">
        <x:v>/ˈdʒænjuəri/</x:v>
      </x:c>
      <x:c r="C382" s="38" t="str">
        <x:v>一月</x:v>
      </x:c>
      <x:c r="D382" s="68"/>
      <x:c r="E382" s="75"/>
      <x:c r="F382" s="68"/>
      <x:c r="G382" s="74"/>
      <x:c r="H382" s="68"/>
      <x:c r="I382" s="75"/>
      <x:c r="J382" s="68"/>
      <x:c r="K382" s="74"/>
    </x:row>
    <x:row r="383" ht="20" customHeight="1">
      <x:c r="A383" s="39" t="str">
        <x:v>job</x:v>
      </x:c>
      <x:c r="B383" s="28" t="str">
        <x:v>/dʒɒb/</x:v>
      </x:c>
      <x:c r="C383" s="40" t="str">
        <x:v>工作</x:v>
      </x:c>
      <x:c r="D383" s="68"/>
      <x:c r="E383" s="75"/>
      <x:c r="F383" s="68"/>
      <x:c r="G383" s="74"/>
      <x:c r="H383" s="68"/>
      <x:c r="I383" s="75"/>
      <x:c r="J383" s="68"/>
      <x:c r="K383" s="74"/>
    </x:row>
    <x:row r="384" ht="20" customHeight="1">
      <x:c r="A384" s="37" t="str">
        <x:v>juice</x:v>
      </x:c>
      <x:c r="B384" s="21" t="str">
        <x:v>/dʒuːs/</x:v>
      </x:c>
      <x:c r="C384" s="38" t="str">
        <x:v>果汁</x:v>
      </x:c>
      <x:c r="D384" s="68"/>
      <x:c r="E384" s="75"/>
      <x:c r="F384" s="68"/>
      <x:c r="G384" s="74"/>
      <x:c r="H384" s="68"/>
      <x:c r="I384" s="75"/>
      <x:c r="J384" s="68"/>
      <x:c r="K384" s="74"/>
    </x:row>
    <x:row r="385" ht="17" customHeight="1">
      <x:c r="A385" s="73" t="str">
        <x:v>动词（1）</x:v>
      </x:c>
      <x:c r="B385" s="68"/>
      <x:c r="C385" s="74"/>
      <x:c r="D385" s="68"/>
      <x:c r="E385" s="75"/>
      <x:c r="F385" s="68"/>
      <x:c r="G385" s="74"/>
      <x:c r="H385" s="68"/>
      <x:c r="I385" s="75"/>
      <x:c r="J385" s="68"/>
      <x:c r="K385" s="74"/>
    </x:row>
    <x:row r="386" ht="20" customHeight="1">
      <x:c r="A386" s="37" t="str">
        <x:v>join</x:v>
      </x:c>
      <x:c r="B386" s="21" t="str">
        <x:v>/dʒɔɪn/</x:v>
      </x:c>
      <x:c r="C386" s="38" t="str">
        <x:v>参加；加入</x:v>
      </x:c>
      <x:c r="D386" s="68"/>
      <x:c r="E386" s="75"/>
      <x:c r="F386" s="68"/>
      <x:c r="G386" s="74"/>
      <x:c r="H386" s="68"/>
      <x:c r="I386" s="75"/>
      <x:c r="J386" s="68"/>
      <x:c r="K386" s="74"/>
    </x:row>
    <x:row r="387">
      <x:c r="A387" s="75"/>
      <x:c r="B387" s="68"/>
      <x:c r="C387" s="74"/>
      <x:c r="D387" s="68"/>
      <x:c r="E387" s="75"/>
      <x:c r="F387" s="68"/>
      <x:c r="G387" s="74"/>
      <x:c r="H387" s="68"/>
      <x:c r="I387" s="75"/>
      <x:c r="J387" s="68"/>
      <x:c r="K387" s="74"/>
    </x:row>
    <x:row r="388">
      <x:c r="A388" s="75"/>
      <x:c r="B388" s="68"/>
      <x:c r="C388" s="74"/>
      <x:c r="D388" s="68"/>
      <x:c r="E388" s="75"/>
      <x:c r="F388" s="68"/>
      <x:c r="G388" s="74"/>
      <x:c r="H388" s="68"/>
      <x:c r="I388" s="75"/>
      <x:c r="J388" s="68"/>
      <x:c r="K388" s="74"/>
    </x:row>
    <x:row r="389">
      <x:c r="A389" s="75"/>
      <x:c r="B389" s="68"/>
      <x:c r="C389" s="74"/>
      <x:c r="D389" s="68"/>
      <x:c r="E389" s="75"/>
      <x:c r="F389" s="68"/>
      <x:c r="G389" s="74"/>
      <x:c r="H389" s="68"/>
      <x:c r="I389" s="75"/>
      <x:c r="J389" s="68"/>
      <x:c r="K389" s="74"/>
    </x:row>
    <x:row r="390">
      <x:c r="A390" s="75"/>
      <x:c r="B390" s="68"/>
      <x:c r="C390" s="74"/>
      <x:c r="D390" s="68"/>
      <x:c r="E390" s="75"/>
      <x:c r="F390" s="68"/>
      <x:c r="G390" s="74"/>
      <x:c r="H390" s="68"/>
      <x:c r="I390" s="75"/>
      <x:c r="J390" s="68"/>
      <x:c r="K390" s="74"/>
    </x:row>
    <x:row r="391">
      <x:c r="A391" s="75"/>
      <x:c r="B391" s="68"/>
      <x:c r="C391" s="74"/>
      <x:c r="D391" s="68"/>
      <x:c r="E391" s="75"/>
      <x:c r="F391" s="68"/>
      <x:c r="G391" s="74"/>
      <x:c r="H391" s="68"/>
      <x:c r="I391" s="75"/>
      <x:c r="J391" s="68"/>
      <x:c r="K391" s="74"/>
    </x:row>
    <x:row r="392">
      <x:c r="A392" s="75"/>
      <x:c r="B392" s="68"/>
      <x:c r="C392" s="74"/>
      <x:c r="D392" s="68"/>
      <x:c r="E392" s="75"/>
      <x:c r="F392" s="68"/>
      <x:c r="G392" s="74"/>
      <x:c r="H392" s="68"/>
      <x:c r="I392" s="75"/>
      <x:c r="J392" s="68"/>
      <x:c r="K392" s="74"/>
    </x:row>
    <x:row r="393">
      <x:c r="A393" s="75"/>
      <x:c r="B393" s="68"/>
      <x:c r="C393" s="74"/>
      <x:c r="D393" s="68"/>
      <x:c r="E393" s="75"/>
      <x:c r="F393" s="68"/>
      <x:c r="G393" s="74"/>
      <x:c r="H393" s="68"/>
      <x:c r="I393" s="75"/>
      <x:c r="J393" s="68"/>
      <x:c r="K393" s="74"/>
    </x:row>
    <x:row r="394">
      <x:c r="A394" s="75"/>
      <x:c r="B394" s="68"/>
      <x:c r="C394" s="74"/>
      <x:c r="D394" s="68"/>
      <x:c r="E394" s="75"/>
      <x:c r="F394" s="68"/>
      <x:c r="G394" s="74"/>
      <x:c r="H394" s="68"/>
      <x:c r="I394" s="75"/>
      <x:c r="J394" s="68"/>
      <x:c r="K394" s="74"/>
    </x:row>
    <x:row r="395">
      <x:c r="A395" s="75"/>
      <x:c r="B395" s="68"/>
      <x:c r="C395" s="74"/>
      <x:c r="D395" s="68"/>
      <x:c r="E395" s="75"/>
      <x:c r="F395" s="68"/>
      <x:c r="G395" s="74"/>
      <x:c r="H395" s="68"/>
      <x:c r="I395" s="75"/>
      <x:c r="J395" s="68"/>
      <x:c r="K395" s="74"/>
    </x:row>
    <x:row r="396">
      <x:c r="A396" s="75"/>
      <x:c r="B396" s="68"/>
      <x:c r="C396" s="74"/>
      <x:c r="D396" s="68"/>
      <x:c r="E396" s="75"/>
      <x:c r="F396" s="68"/>
      <x:c r="G396" s="74"/>
      <x:c r="H396" s="68"/>
      <x:c r="I396" s="75"/>
      <x:c r="J396" s="68"/>
      <x:c r="K396" s="74"/>
    </x:row>
    <x:row r="397">
      <x:c r="A397" s="75"/>
      <x:c r="B397" s="68"/>
      <x:c r="C397" s="74"/>
      <x:c r="D397" s="68"/>
      <x:c r="E397" s="75"/>
      <x:c r="F397" s="68"/>
      <x:c r="G397" s="74"/>
      <x:c r="H397" s="68"/>
      <x:c r="I397" s="75"/>
      <x:c r="J397" s="68"/>
      <x:c r="K397" s="74"/>
    </x:row>
    <x:row r="398">
      <x:c r="A398" s="75"/>
      <x:c r="B398" s="68"/>
      <x:c r="C398" s="74"/>
      <x:c r="D398" s="68"/>
      <x:c r="E398" s="75"/>
      <x:c r="F398" s="68"/>
      <x:c r="G398" s="74"/>
      <x:c r="H398" s="68"/>
      <x:c r="I398" s="75"/>
      <x:c r="J398" s="68"/>
      <x:c r="K398" s="74"/>
    </x:row>
    <x:row r="399">
      <x:c r="A399" s="75"/>
      <x:c r="B399" s="68"/>
      <x:c r="C399" s="74"/>
      <x:c r="D399" s="68"/>
      <x:c r="E399" s="75"/>
      <x:c r="F399" s="68"/>
      <x:c r="G399" s="74"/>
      <x:c r="H399" s="68"/>
      <x:c r="I399" s="75"/>
      <x:c r="J399" s="68"/>
      <x:c r="K399" s="74"/>
    </x:row>
    <x:row r="400">
      <x:c r="A400" s="75"/>
      <x:c r="B400" s="68"/>
      <x:c r="C400" s="74"/>
      <x:c r="D400" s="68"/>
      <x:c r="E400" s="75"/>
      <x:c r="F400" s="68"/>
      <x:c r="G400" s="74"/>
      <x:c r="H400" s="68"/>
      <x:c r="I400" s="75"/>
      <x:c r="J400" s="68"/>
      <x:c r="K400" s="74"/>
    </x:row>
    <x:row r="401">
      <x:c r="A401" s="75"/>
      <x:c r="B401" s="68"/>
      <x:c r="C401" s="74"/>
      <x:c r="D401" s="68"/>
      <x:c r="E401" s="75"/>
      <x:c r="F401" s="68"/>
      <x:c r="G401" s="74"/>
      <x:c r="H401" s="68"/>
      <x:c r="I401" s="75"/>
      <x:c r="J401" s="68"/>
      <x:c r="K401" s="74"/>
    </x:row>
    <x:row r="402">
      <x:c r="A402" s="75"/>
      <x:c r="B402" s="68"/>
      <x:c r="C402" s="74"/>
      <x:c r="D402" s="68"/>
      <x:c r="E402" s="75"/>
      <x:c r="F402" s="68"/>
      <x:c r="G402" s="74"/>
      <x:c r="H402" s="68"/>
      <x:c r="I402" s="75"/>
      <x:c r="J402" s="68"/>
      <x:c r="K402" s="74"/>
    </x:row>
    <x:row r="403">
      <x:c r="A403" s="75"/>
      <x:c r="B403" s="68"/>
      <x:c r="C403" s="74"/>
      <x:c r="D403" s="68"/>
      <x:c r="E403" s="75"/>
      <x:c r="F403" s="68"/>
      <x:c r="G403" s="74"/>
      <x:c r="H403" s="68"/>
      <x:c r="I403" s="75"/>
      <x:c r="J403" s="68"/>
      <x:c r="K403" s="74"/>
    </x:row>
    <x:row r="404">
      <x:c r="A404" s="76"/>
      <x:c r="B404" s="77"/>
      <x:c r="C404" s="78"/>
      <x:c r="D404" s="68"/>
      <x:c r="E404" s="76"/>
      <x:c r="F404" s="77"/>
      <x:c r="G404" s="78"/>
      <x:c r="H404" s="68"/>
      <x:c r="I404" s="76"/>
      <x:c r="J404" s="77"/>
      <x:c r="K404" s="78"/>
    </x:row>
    <x:row r="405">
      <x:c r="A405" s="68"/>
      <x:c r="B405" s="68"/>
      <x:c r="C405" s="68"/>
      <x:c r="D405" s="68"/>
      <x:c r="E405" s="68"/>
      <x:c r="F405" s="68"/>
      <x:c r="G405" s="68"/>
      <x:c r="H405" s="68"/>
      <x:c r="I405" s="68"/>
      <x:c r="J405" s="68"/>
      <x:c r="K405" s="68"/>
    </x:row>
    <x:row r="406" ht="27" customHeight="1">
      <x:c r="A406" s="65" t="str">
        <x:v>K 开头单词</x:v>
      </x:c>
      <x:c r="B406" s="66"/>
      <x:c r="C406" s="67"/>
      <x:c r="D406" s="68"/>
      <x:c r="E406" s="69"/>
      <x:c r="F406" s="66"/>
      <x:c r="G406" s="67"/>
      <x:c r="H406" s="68"/>
      <x:c r="I406" s="69"/>
      <x:c r="J406" s="66"/>
      <x:c r="K406" s="67"/>
    </x:row>
    <x:row r="407" ht="19" customHeight="1">
      <x:c r="A407" s="70" t="str">
        <x:v>英文单词 / 短语</x:v>
      </x:c>
      <x:c r="B407" s="71" t="str">
        <x:v>音标</x:v>
      </x:c>
      <x:c r="C407" s="72" t="str">
        <x:v>中文解释</x:v>
      </x:c>
      <x:c r="D407" s="68"/>
      <x:c r="E407" s="70" t="str">
        <x:v>英文单词 / 短语</x:v>
      </x:c>
      <x:c r="F407" s="71" t="str">
        <x:v>音标</x:v>
      </x:c>
      <x:c r="G407" s="72" t="str">
        <x:v>中文解释</x:v>
      </x:c>
      <x:c r="H407" s="68"/>
      <x:c r="I407" s="70" t="str">
        <x:v>英文单词 / 短语</x:v>
      </x:c>
      <x:c r="J407" s="71" t="str">
        <x:v>音标</x:v>
      </x:c>
      <x:c r="K407" s="72" t="str">
        <x:v>中文解释</x:v>
      </x:c>
    </x:row>
    <x:row r="408" ht="17" customHeight="1">
      <x:c r="A408" s="73" t="str">
        <x:v>名词（12）</x:v>
      </x:c>
      <x:c r="B408" s="68"/>
      <x:c r="C408" s="74"/>
      <x:c r="D408" s="68"/>
      <x:c r="E408" s="75"/>
      <x:c r="F408" s="68"/>
      <x:c r="G408" s="74"/>
      <x:c r="H408" s="68"/>
      <x:c r="I408" s="75"/>
      <x:c r="J408" s="68"/>
      <x:c r="K408" s="74"/>
    </x:row>
    <x:row r="409" ht="20" customHeight="1">
      <x:c r="A409" s="37" t="str">
        <x:v>key</x:v>
      </x:c>
      <x:c r="B409" s="21" t="str">
        <x:v>/kiː/</x:v>
      </x:c>
      <x:c r="C409" s="38" t="str">
        <x:v>钥匙；关键</x:v>
      </x:c>
      <x:c r="D409" s="68"/>
      <x:c r="E409" s="75"/>
      <x:c r="F409" s="68"/>
      <x:c r="G409" s="74"/>
      <x:c r="H409" s="68"/>
      <x:c r="I409" s="75"/>
      <x:c r="J409" s="68"/>
      <x:c r="K409" s="74"/>
    </x:row>
    <x:row r="410" ht="20" customHeight="1">
      <x:c r="A410" s="39" t="str">
        <x:v>keyboard</x:v>
      </x:c>
      <x:c r="B410" s="28" t="str">
        <x:v>/ˈkiːbɔːd/</x:v>
      </x:c>
      <x:c r="C410" s="40" t="str">
        <x:v>键盘</x:v>
      </x:c>
      <x:c r="D410" s="68"/>
      <x:c r="E410" s="75"/>
      <x:c r="F410" s="68"/>
      <x:c r="G410" s="74"/>
      <x:c r="H410" s="68"/>
      <x:c r="I410" s="75"/>
      <x:c r="J410" s="68"/>
      <x:c r="K410" s="74"/>
    </x:row>
    <x:row r="411" ht="20" customHeight="1">
      <x:c r="A411" s="37" t="str">
        <x:v>kilo (= kilogram)</x:v>
      </x:c>
      <x:c r="B411" s="21" t="str">
        <x:v>/ˈkiːləʊ/</x:v>
      </x:c>
      <x:c r="C411" s="38" t="str">
        <x:v>千克；公斤</x:v>
      </x:c>
      <x:c r="D411" s="68"/>
      <x:c r="E411" s="75"/>
      <x:c r="F411" s="68"/>
      <x:c r="G411" s="74"/>
      <x:c r="H411" s="68"/>
      <x:c r="I411" s="75"/>
      <x:c r="J411" s="68"/>
      <x:c r="K411" s="74"/>
    </x:row>
    <x:row r="412" ht="20" customHeight="1">
      <x:c r="A412" s="39" t="str">
        <x:v>kilometre</x:v>
      </x:c>
      <x:c r="B412" s="28" t="str">
        <x:v>/kɪˈlɒmɪtə(r)/</x:v>
      </x:c>
      <x:c r="C412" s="40" t="str">
        <x:v>千米</x:v>
      </x:c>
      <x:c r="D412" s="68"/>
      <x:c r="E412" s="75"/>
      <x:c r="F412" s="68"/>
      <x:c r="G412" s="74"/>
      <x:c r="H412" s="68"/>
      <x:c r="I412" s="75"/>
      <x:c r="J412" s="68"/>
      <x:c r="K412" s="74"/>
    </x:row>
    <x:row r="413" ht="20" customHeight="1">
      <x:c r="A413" s="37" t="str">
        <x:v>kind</x:v>
      </x:c>
      <x:c r="B413" s="21" t="str">
        <x:v>/kaɪnd/</x:v>
      </x:c>
      <x:c r="C413" s="38" t="str">
        <x:v>种类</x:v>
      </x:c>
      <x:c r="D413" s="68"/>
      <x:c r="E413" s="75"/>
      <x:c r="F413" s="68"/>
      <x:c r="G413" s="74"/>
      <x:c r="H413" s="68"/>
      <x:c r="I413" s="75"/>
      <x:c r="J413" s="68"/>
      <x:c r="K413" s="74"/>
    </x:row>
    <x:row r="414" ht="20" customHeight="1">
      <x:c r="A414" s="39" t="str">
        <x:v>king</x:v>
      </x:c>
      <x:c r="B414" s="28" t="str">
        <x:v>/kɪŋ/</x:v>
      </x:c>
      <x:c r="C414" s="40" t="str">
        <x:v>国王；君王</x:v>
      </x:c>
      <x:c r="D414" s="68"/>
      <x:c r="E414" s="75"/>
      <x:c r="F414" s="68"/>
      <x:c r="G414" s="74"/>
      <x:c r="H414" s="68"/>
      <x:c r="I414" s="75"/>
      <x:c r="J414" s="68"/>
      <x:c r="K414" s="74"/>
    </x:row>
    <x:row r="415" ht="20" customHeight="1">
      <x:c r="A415" s="37" t="str">
        <x:v>kiss</x:v>
      </x:c>
      <x:c r="B415" s="21" t="str">
        <x:v>/kɪs/</x:v>
      </x:c>
      <x:c r="C415" s="38" t="str">
        <x:v>吻；亲吻</x:v>
      </x:c>
      <x:c r="D415" s="68"/>
      <x:c r="E415" s="75"/>
      <x:c r="F415" s="68"/>
      <x:c r="G415" s="74"/>
      <x:c r="H415" s="68"/>
      <x:c r="I415" s="75"/>
      <x:c r="J415" s="68"/>
      <x:c r="K415" s="74"/>
    </x:row>
    <x:row r="416" ht="20" customHeight="1">
      <x:c r="A416" s="39" t="str">
        <x:v>kitchen</x:v>
      </x:c>
      <x:c r="B416" s="28" t="str">
        <x:v>/ˈkɪtʃɪn/</x:v>
      </x:c>
      <x:c r="C416" s="40" t="str">
        <x:v>厨房</x:v>
      </x:c>
      <x:c r="D416" s="68"/>
      <x:c r="E416" s="75"/>
      <x:c r="F416" s="68"/>
      <x:c r="G416" s="74"/>
      <x:c r="H416" s="68"/>
      <x:c r="I416" s="75"/>
      <x:c r="J416" s="68"/>
      <x:c r="K416" s="74"/>
    </x:row>
    <x:row r="417" ht="20" customHeight="1">
      <x:c r="A417" s="37" t="str">
        <x:v>kite</x:v>
      </x:c>
      <x:c r="B417" s="21" t="str">
        <x:v>/kaɪt/</x:v>
      </x:c>
      <x:c r="C417" s="38" t="str">
        <x:v>风筝</x:v>
      </x:c>
      <x:c r="D417" s="68"/>
      <x:c r="E417" s="75"/>
      <x:c r="F417" s="68"/>
      <x:c r="G417" s="74"/>
      <x:c r="H417" s="68"/>
      <x:c r="I417" s="75"/>
      <x:c r="J417" s="68"/>
      <x:c r="K417" s="74"/>
    </x:row>
    <x:row r="418" ht="20" customHeight="1">
      <x:c r="A418" s="39" t="str">
        <x:v>knee</x:v>
      </x:c>
      <x:c r="B418" s="28" t="str">
        <x:v>/niː/</x:v>
      </x:c>
      <x:c r="C418" s="40" t="str">
        <x:v>膝盖</x:v>
      </x:c>
      <x:c r="D418" s="68"/>
      <x:c r="E418" s="75"/>
      <x:c r="F418" s="68"/>
      <x:c r="G418" s="74"/>
      <x:c r="H418" s="68"/>
      <x:c r="I418" s="75"/>
      <x:c r="J418" s="68"/>
      <x:c r="K418" s="74"/>
    </x:row>
    <x:row r="419" ht="20" customHeight="1">
      <x:c r="A419" s="37" t="str">
        <x:v>knife</x:v>
      </x:c>
      <x:c r="B419" s="21" t="str">
        <x:v>/naɪf/</x:v>
      </x:c>
      <x:c r="C419" s="38" t="str">
        <x:v>刀</x:v>
      </x:c>
      <x:c r="D419" s="68"/>
      <x:c r="E419" s="75"/>
      <x:c r="F419" s="68"/>
      <x:c r="G419" s="74"/>
      <x:c r="H419" s="68"/>
      <x:c r="I419" s="75"/>
      <x:c r="J419" s="68"/>
      <x:c r="K419" s="74"/>
    </x:row>
    <x:row r="420" ht="20" customHeight="1">
      <x:c r="A420" s="39" t="str">
        <x:v>knock</x:v>
      </x:c>
      <x:c r="B420" s="28" t="str">
        <x:v>/nɒk/</x:v>
      </x:c>
      <x:c r="C420" s="40" t="str">
        <x:v>敲；敲击声</x:v>
      </x:c>
      <x:c r="D420" s="68"/>
      <x:c r="E420" s="75"/>
      <x:c r="F420" s="68"/>
      <x:c r="G420" s="74"/>
      <x:c r="H420" s="68"/>
      <x:c r="I420" s="75"/>
      <x:c r="J420" s="68"/>
      <x:c r="K420" s="74"/>
    </x:row>
    <x:row r="421" ht="17" customHeight="1">
      <x:c r="A421" s="73" t="str">
        <x:v>动词（3）</x:v>
      </x:c>
      <x:c r="B421" s="68"/>
      <x:c r="C421" s="74"/>
      <x:c r="D421" s="68"/>
      <x:c r="E421" s="75"/>
      <x:c r="F421" s="68"/>
      <x:c r="G421" s="74"/>
      <x:c r="H421" s="68"/>
      <x:c r="I421" s="75"/>
      <x:c r="J421" s="68"/>
      <x:c r="K421" s="74"/>
    </x:row>
    <x:row r="422" ht="20" customHeight="1">
      <x:c r="A422" s="39" t="str">
        <x:v>keep</x:v>
      </x:c>
      <x:c r="B422" s="28" t="str">
        <x:v>/kiːp/</x:v>
      </x:c>
      <x:c r="C422" s="40" t="str">
        <x:v>(kept /kept/; kept) 保持；留在</x:v>
      </x:c>
      <x:c r="D422" s="68"/>
      <x:c r="E422" s="75"/>
      <x:c r="F422" s="68"/>
      <x:c r="G422" s="74"/>
      <x:c r="H422" s="68"/>
      <x:c r="I422" s="75"/>
      <x:c r="J422" s="68"/>
      <x:c r="K422" s="74"/>
    </x:row>
    <x:row r="423" ht="20" customHeight="1">
      <x:c r="A423" s="37" t="str">
        <x:v>kiss</x:v>
      </x:c>
      <x:c r="B423" s="21" t="str">
        <x:v>/kɪs/</x:v>
      </x:c>
      <x:c r="C423" s="38" t="str">
        <x:v>吻；亲吻</x:v>
      </x:c>
      <x:c r="D423" s="68"/>
      <x:c r="E423" s="75"/>
      <x:c r="F423" s="68"/>
      <x:c r="G423" s="74"/>
      <x:c r="H423" s="68"/>
      <x:c r="I423" s="75"/>
      <x:c r="J423" s="68"/>
      <x:c r="K423" s="74"/>
    </x:row>
    <x:row r="424" ht="20" customHeight="1">
      <x:c r="A424" s="39" t="str">
        <x:v>knock</x:v>
      </x:c>
      <x:c r="B424" s="28" t="str">
        <x:v>/nɒk/</x:v>
      </x:c>
      <x:c r="C424" s="40" t="str">
        <x:v>敲；击</x:v>
      </x:c>
      <x:c r="D424" s="68"/>
      <x:c r="E424" s="75"/>
      <x:c r="F424" s="68"/>
      <x:c r="G424" s="74"/>
      <x:c r="H424" s="68"/>
      <x:c r="I424" s="75"/>
      <x:c r="J424" s="68"/>
      <x:c r="K424" s="74"/>
    </x:row>
    <x:row r="425" ht="17" customHeight="1">
      <x:c r="A425" s="73" t="str">
        <x:v>形容词（2）</x:v>
      </x:c>
      <x:c r="B425" s="68"/>
      <x:c r="C425" s="74"/>
      <x:c r="D425" s="68"/>
      <x:c r="E425" s="75"/>
      <x:c r="F425" s="68"/>
      <x:c r="G425" s="74"/>
      <x:c r="H425" s="68"/>
      <x:c r="I425" s="75"/>
      <x:c r="J425" s="68"/>
      <x:c r="K425" s="74"/>
    </x:row>
    <x:row r="426" ht="20" customHeight="1">
      <x:c r="A426" s="39" t="str">
        <x:v>key</x:v>
      </x:c>
      <x:c r="B426" s="28" t="str">
        <x:v>/kiː/</x:v>
      </x:c>
      <x:c r="C426" s="40" t="str">
        <x:v>关键性的；非常重要的</x:v>
      </x:c>
      <x:c r="D426" s="68"/>
      <x:c r="E426" s="75"/>
      <x:c r="F426" s="68"/>
      <x:c r="G426" s="74"/>
      <x:c r="H426" s="68"/>
      <x:c r="I426" s="75"/>
      <x:c r="J426" s="68"/>
      <x:c r="K426" s="74"/>
    </x:row>
    <x:row r="427" ht="20" customHeight="1">
      <x:c r="A427" s="37" t="str">
        <x:v>kind</x:v>
      </x:c>
      <x:c r="B427" s="21" t="str">
        <x:v>/kaɪnd/</x:v>
      </x:c>
      <x:c r="C427" s="38" t="str">
        <x:v>善良的；友好的（注：词表中未标，按中考高频补充）</x:v>
      </x:c>
      <x:c r="D427" s="68"/>
      <x:c r="E427" s="75"/>
      <x:c r="F427" s="68"/>
      <x:c r="G427" s="74"/>
      <x:c r="H427" s="68"/>
      <x:c r="I427" s="75"/>
      <x:c r="J427" s="68"/>
      <x:c r="K427" s="74"/>
    </x:row>
    <x:row r="428" ht="17" customHeight="1">
      <x:c r="A428" s="73" t="str">
        <x:v>短语（1）</x:v>
      </x:c>
      <x:c r="B428" s="68"/>
      <x:c r="C428" s="74"/>
      <x:c r="D428" s="68"/>
      <x:c r="E428" s="75"/>
      <x:c r="F428" s="68"/>
      <x:c r="G428" s="74"/>
      <x:c r="H428" s="68"/>
      <x:c r="I428" s="75"/>
      <x:c r="J428" s="68"/>
      <x:c r="K428" s="74"/>
    </x:row>
    <x:row r="429" ht="20" customHeight="1">
      <x:c r="A429" s="37" t="str">
        <x:v>keep</x:v>
      </x:c>
      <x:c r="B429" s="21" t="str"/>
      <x:c r="C429" s="38" t="str">
        <x:v>clear of… 不和……接触</x:v>
      </x:c>
      <x:c r="D429" s="68"/>
      <x:c r="E429" s="75"/>
      <x:c r="F429" s="68"/>
      <x:c r="G429" s="74"/>
      <x:c r="H429" s="68"/>
      <x:c r="I429" s="75"/>
      <x:c r="J429" s="68"/>
      <x:c r="K429" s="74"/>
    </x:row>
    <x:row r="430">
      <x:c r="A430" s="75"/>
      <x:c r="B430" s="68"/>
      <x:c r="C430" s="74"/>
      <x:c r="D430" s="68"/>
      <x:c r="E430" s="75"/>
      <x:c r="F430" s="68"/>
      <x:c r="G430" s="74"/>
      <x:c r="H430" s="68"/>
      <x:c r="I430" s="75"/>
      <x:c r="J430" s="68"/>
      <x:c r="K430" s="74"/>
    </x:row>
    <x:row r="431">
      <x:c r="A431" s="76"/>
      <x:c r="B431" s="77"/>
      <x:c r="C431" s="78"/>
      <x:c r="D431" s="68"/>
      <x:c r="E431" s="76"/>
      <x:c r="F431" s="77"/>
      <x:c r="G431" s="78"/>
      <x:c r="H431" s="68"/>
      <x:c r="I431" s="76"/>
      <x:c r="J431" s="77"/>
      <x:c r="K431" s="78"/>
    </x:row>
    <x:row r="432">
      <x:c r="A432" s="68"/>
      <x:c r="B432" s="68"/>
      <x:c r="C432" s="68"/>
      <x:c r="D432" s="68"/>
      <x:c r="E432" s="68"/>
      <x:c r="F432" s="68"/>
      <x:c r="G432" s="68"/>
      <x:c r="H432" s="68"/>
      <x:c r="I432" s="68"/>
      <x:c r="J432" s="68"/>
      <x:c r="K432" s="68"/>
    </x:row>
    <x:row r="433" ht="27" customHeight="1">
      <x:c r="A433" s="65" t="str">
        <x:v>L 开头单词（1/2）</x:v>
      </x:c>
      <x:c r="B433" s="66"/>
      <x:c r="C433" s="67"/>
      <x:c r="D433" s="68"/>
      <x:c r="E433" s="69"/>
      <x:c r="F433" s="66"/>
      <x:c r="G433" s="67"/>
      <x:c r="H433" s="68"/>
      <x:c r="I433" s="69"/>
      <x:c r="J433" s="66"/>
      <x:c r="K433" s="67"/>
    </x:row>
    <x:row r="434" ht="19" customHeight="1">
      <x:c r="A434" s="70" t="str">
        <x:v>英文单词 / 短语</x:v>
      </x:c>
      <x:c r="B434" s="71" t="str">
        <x:v>音标</x:v>
      </x:c>
      <x:c r="C434" s="72" t="str">
        <x:v>中文解释</x:v>
      </x:c>
      <x:c r="D434" s="68"/>
      <x:c r="E434" s="70" t="str">
        <x:v>英文单词 / 短语</x:v>
      </x:c>
      <x:c r="F434" s="71" t="str">
        <x:v>音标</x:v>
      </x:c>
      <x:c r="G434" s="72" t="str">
        <x:v>中文解释</x:v>
      </x:c>
      <x:c r="H434" s="68"/>
      <x:c r="I434" s="70" t="str">
        <x:v>英文单词 / 短语</x:v>
      </x:c>
      <x:c r="J434" s="71" t="str">
        <x:v>音标</x:v>
      </x:c>
      <x:c r="K434" s="72" t="str">
        <x:v>中文解释</x:v>
      </x:c>
    </x:row>
    <x:row r="435" ht="20" customHeight="1">
      <x:c r="A435" s="73" t="str">
        <x:v>名词（34）</x:v>
      </x:c>
      <x:c r="B435" s="68"/>
      <x:c r="C435" s="74"/>
      <x:c r="D435" s="68"/>
      <x:c r="E435" s="39" t="str">
        <x:v>litter</x:v>
      </x:c>
      <x:c r="F435" s="28" t="str">
        <x:v>/ˈlɪtə(r)/</x:v>
      </x:c>
      <x:c r="G435" s="40" t="str">
        <x:v>垃圾</x:v>
      </x:c>
      <x:c r="H435" s="68"/>
      <x:c r="I435" s="39" t="str">
        <x:v>look</x:v>
      </x:c>
      <x:c r="J435" s="28" t="str">
        <x:v>/lʊk/</x:v>
      </x:c>
      <x:c r="K435" s="40" t="str">
        <x:v>看；瞧；寻找</x:v>
      </x:c>
    </x:row>
    <x:row r="436" ht="20" customHeight="1">
      <x:c r="A436" s="37" t="str">
        <x:v>lab (= laboratory)</x:v>
      </x:c>
      <x:c r="B436" s="21" t="str">
        <x:v>/læb/</x:v>
      </x:c>
      <x:c r="C436" s="38" t="str">
        <x:v>实验室</x:v>
      </x:c>
      <x:c r="D436" s="68"/>
      <x:c r="E436" s="37" t="str">
        <x:v>little</x:v>
      </x:c>
      <x:c r="F436" s="21" t="str">
        <x:v>/ˈlɪtl/</x:v>
      </x:c>
      <x:c r="G436" s="38" t="str">
        <x:v>少量；少许</x:v>
      </x:c>
      <x:c r="H436" s="68"/>
      <x:c r="I436" s="37" t="str">
        <x:v>lose</x:v>
      </x:c>
      <x:c r="J436" s="21" t="str">
        <x:v>/luːz/</x:v>
      </x:c>
      <x:c r="K436" s="38" t="str">
        <x:v>(lost /lɒst/; lost) 失去；迷失</x:v>
      </x:c>
    </x:row>
    <x:row r="437" ht="20" customHeight="1">
      <x:c r="A437" s="39" t="str">
        <x:v>lake</x:v>
      </x:c>
      <x:c r="B437" s="28" t="str">
        <x:v>/leɪk/</x:v>
      </x:c>
      <x:c r="C437" s="40" t="str">
        <x:v>湖</x:v>
      </x:c>
      <x:c r="D437" s="68"/>
      <x:c r="E437" s="39" t="str">
        <x:v>live</x:v>
      </x:c>
      <x:c r="F437" s="28" t="str">
        <x:v>/lɪv/</x:v>
      </x:c>
      <x:c r="G437" s="40" t="str">
        <x:v>生活；生命</x:v>
      </x:c>
      <x:c r="H437" s="68"/>
      <x:c r="I437" s="39" t="str">
        <x:v>love</x:v>
      </x:c>
      <x:c r="J437" s="28" t="str">
        <x:v>/lʌv/</x:v>
      </x:c>
      <x:c r="K437" s="40" t="str">
        <x:v>爱；热爱</x:v>
      </x:c>
    </x:row>
    <x:row r="438" ht="20" customHeight="1">
      <x:c r="A438" s="37" t="str">
        <x:v>land</x:v>
      </x:c>
      <x:c r="B438" s="21" t="str">
        <x:v>/lænd/</x:v>
      </x:c>
      <x:c r="C438" s="38" t="str">
        <x:v>陆地；地面</x:v>
      </x:c>
      <x:c r="D438" s="68"/>
      <x:c r="E438" s="37" t="str">
        <x:v>living room</x:v>
      </x:c>
      <x:c r="F438" s="21" t="str">
        <x:v>/ˈlɪvɪŋ ruːm/</x:v>
      </x:c>
      <x:c r="G438" s="38" t="str">
        <x:v>起居室；客厅</x:v>
      </x:c>
      <x:c r="H438" s="68"/>
      <x:c r="I438" s="37" t="str">
        <x:v>lunch</x:v>
      </x:c>
      <x:c r="J438" s="21" t="str">
        <x:v>/lʌntʃ/</x:v>
      </x:c>
      <x:c r="K438" s="38" t="str">
        <x:v>吃午餐</x:v>
      </x:c>
    </x:row>
    <x:row r="439" ht="17" customHeight="1">
      <x:c r="A439" s="39" t="str">
        <x:v>language</x:v>
      </x:c>
      <x:c r="B439" s="28" t="str">
        <x:v>/ˈlæŋɡwɪdʒ/</x:v>
      </x:c>
      <x:c r="C439" s="40" t="str">
        <x:v>语言</x:v>
      </x:c>
      <x:c r="D439" s="68"/>
      <x:c r="E439" s="39" t="str">
        <x:v>local</x:v>
      </x:c>
      <x:c r="F439" s="28" t="str">
        <x:v>/ˈləʊkl/</x:v>
      </x:c>
      <x:c r="G439" s="40" t="str">
        <x:v>当地人</x:v>
      </x:c>
      <x:c r="H439" s="68"/>
      <x:c r="I439" s="73" t="str">
        <x:v>形容词（15）</x:v>
      </x:c>
      <x:c r="J439" s="68"/>
      <x:c r="K439" s="74"/>
    </x:row>
    <x:row r="440" ht="20" customHeight="1">
      <x:c r="A440" s="37" t="str">
        <x:v>lantern</x:v>
      </x:c>
      <x:c r="B440" s="21" t="str">
        <x:v>/ˈlæntən/</x:v>
      </x:c>
      <x:c r="C440" s="38" t="str">
        <x:v>灯笼</x:v>
      </x:c>
      <x:c r="D440" s="68"/>
      <x:c r="E440" s="37" t="str">
        <x:v>London</x:v>
      </x:c>
      <x:c r="F440" s="21" t="str">
        <x:v>/ˈlʌndən/</x:v>
      </x:c>
      <x:c r="G440" s="38" t="str">
        <x:v>伦敦</x:v>
      </x:c>
      <x:c r="H440" s="68"/>
      <x:c r="I440" s="37" t="str">
        <x:v>large</x:v>
      </x:c>
      <x:c r="J440" s="21" t="str">
        <x:v>/lɑːdʒ/</x:v>
      </x:c>
      <x:c r="K440" s="38" t="str">
        <x:v>大的；巨大的</x:v>
      </x:c>
    </x:row>
    <x:row r="441" ht="20" customHeight="1">
      <x:c r="A441" s="39" t="str">
        <x:v>last</x:v>
      </x:c>
      <x:c r="B441" s="28" t="str">
        <x:v>/lɑːst/</x:v>
      </x:c>
      <x:c r="C441" s="40" t="str">
        <x:v>最后；末尾</x:v>
      </x:c>
      <x:c r="D441" s="68"/>
      <x:c r="E441" s="39" t="str">
        <x:v>look</x:v>
      </x:c>
      <x:c r="F441" s="28" t="str">
        <x:v>/lʊk/</x:v>
      </x:c>
      <x:c r="G441" s="40" t="str">
        <x:v>看；瞧</x:v>
      </x:c>
      <x:c r="H441" s="68"/>
      <x:c r="I441" s="39" t="str">
        <x:v>last</x:v>
      </x:c>
      <x:c r="J441" s="28" t="str">
        <x:v>/lɑːst/</x:v>
      </x:c>
      <x:c r="K441" s="40" t="str">
        <x:v>最后的；最近的</x:v>
      </x:c>
    </x:row>
    <x:row r="442" ht="20" customHeight="1">
      <x:c r="A442" s="37" t="str">
        <x:v>late</x:v>
      </x:c>
      <x:c r="B442" s="21" t="str">
        <x:v>/leɪt/</x:v>
      </x:c>
      <x:c r="C442" s="38" t="str">
        <x:v>晚；迟</x:v>
      </x:c>
      <x:c r="D442" s="68"/>
      <x:c r="E442" s="37" t="str">
        <x:v>lot</x:v>
      </x:c>
      <x:c r="F442" s="21" t="str">
        <x:v>/lɒt/</x:v>
      </x:c>
      <x:c r="G442" s="38" t="str">
        <x:v>大量；许多</x:v>
      </x:c>
      <x:c r="H442" s="68"/>
      <x:c r="I442" s="37" t="str">
        <x:v>late</x:v>
      </x:c>
      <x:c r="J442" s="21" t="str">
        <x:v>/leɪt/</x:v>
      </x:c>
      <x:c r="K442" s="38" t="str">
        <x:v>迟的；晚的</x:v>
      </x:c>
    </x:row>
    <x:row r="443" ht="20" customHeight="1">
      <x:c r="A443" s="39" t="str">
        <x:v>later</x:v>
      </x:c>
      <x:c r="B443" s="28" t="str">
        <x:v>/ˈleɪtə(r)/</x:v>
      </x:c>
      <x:c r="C443" s="40" t="str">
        <x:v>后来；以后</x:v>
      </x:c>
      <x:c r="D443" s="68"/>
      <x:c r="E443" s="39" t="str">
        <x:v>love</x:v>
      </x:c>
      <x:c r="F443" s="28" t="str">
        <x:v>/lʌv/</x:v>
      </x:c>
      <x:c r="G443" s="40" t="str">
        <x:v>爱；热爱</x:v>
      </x:c>
      <x:c r="H443" s="68"/>
      <x:c r="I443" s="39" t="str">
        <x:v>later</x:v>
      </x:c>
      <x:c r="J443" s="28" t="str">
        <x:v>/ˈleɪtə(r)/</x:v>
      </x:c>
      <x:c r="K443" s="40" t="str">
        <x:v>更迟的；更晚的</x:v>
      </x:c>
    </x:row>
    <x:row r="444" ht="20" customHeight="1">
      <x:c r="A444" s="37" t="str">
        <x:v>laugh</x:v>
      </x:c>
      <x:c r="B444" s="21" t="str">
        <x:v>/lɑːf/</x:v>
      </x:c>
      <x:c r="C444" s="38" t="str">
        <x:v>笑；发笑</x:v>
      </x:c>
      <x:c r="D444" s="68"/>
      <x:c r="E444" s="37" t="str">
        <x:v>luck</x:v>
      </x:c>
      <x:c r="F444" s="21" t="str">
        <x:v>/lʌk/</x:v>
      </x:c>
      <x:c r="G444" s="38" t="str">
        <x:v>运气</x:v>
      </x:c>
      <x:c r="H444" s="68"/>
      <x:c r="I444" s="37" t="str">
        <x:v>left</x:v>
      </x:c>
      <x:c r="J444" s="21" t="str">
        <x:v>/left/</x:v>
      </x:c>
      <x:c r="K444" s="38" t="str">
        <x:v>左边的；左侧的</x:v>
      </x:c>
    </x:row>
    <x:row r="445" ht="20" customHeight="1">
      <x:c r="A445" s="39" t="str">
        <x:v>law</x:v>
      </x:c>
      <x:c r="B445" s="28" t="str">
        <x:v>/lɔː/</x:v>
      </x:c>
      <x:c r="C445" s="40" t="str">
        <x:v>法律（注：词表中未标，按中考高频补充）</x:v>
      </x:c>
      <x:c r="D445" s="68"/>
      <x:c r="E445" s="39" t="str">
        <x:v>lunch</x:v>
      </x:c>
      <x:c r="F445" s="28" t="str">
        <x:v>/lʌntʃ/</x:v>
      </x:c>
      <x:c r="G445" s="40" t="str">
        <x:v>午饭</x:v>
      </x:c>
      <x:c r="H445" s="68"/>
      <x:c r="I445" s="39" t="str">
        <x:v>light</x:v>
      </x:c>
      <x:c r="J445" s="28" t="str">
        <x:v>/laɪt/</x:v>
      </x:c>
      <x:c r="K445" s="40" t="str">
        <x:v>轻的；少量的；淡色的；明亮的</x:v>
      </x:c>
    </x:row>
    <x:row r="446" ht="20" customHeight="1">
      <x:c r="A446" s="37" t="str">
        <x:v>lead</x:v>
      </x:c>
      <x:c r="B446" s="21" t="str">
        <x:v>/liːd/</x:v>
      </x:c>
      <x:c r="C446" s="38" t="str">
        <x:v>领导；率领</x:v>
      </x:c>
      <x:c r="D446" s="68"/>
      <x:c r="E446" s="73" t="str">
        <x:v>动词（16）</x:v>
      </x:c>
      <x:c r="F446" s="68"/>
      <x:c r="G446" s="74"/>
      <x:c r="H446" s="68"/>
      <x:c r="I446" s="37" t="str">
        <x:v>little</x:v>
      </x:c>
      <x:c r="J446" s="21" t="str">
        <x:v>/ˈlɪtl/</x:v>
      </x:c>
      <x:c r="K446" s="38" t="str">
        <x:v>小的；少量的；年幼的</x:v>
      </x:c>
    </x:row>
    <x:row r="447" ht="20" customHeight="1">
      <x:c r="A447" s="39" t="str">
        <x:v>leaf</x:v>
      </x:c>
      <x:c r="B447" s="28" t="str">
        <x:v>/liːf/</x:v>
      </x:c>
      <x:c r="C447" s="40" t="str">
        <x:v>(pl. leaves /liːvz/) 叶子</x:v>
      </x:c>
      <x:c r="D447" s="68"/>
      <x:c r="E447" s="39" t="str">
        <x:v>land</x:v>
      </x:c>
      <x:c r="F447" s="28" t="str">
        <x:v>/lænd/</x:v>
      </x:c>
      <x:c r="G447" s="40" t="str">
        <x:v>降落（或跳落、跌落）到地面（或水面上）</x:v>
      </x:c>
      <x:c r="H447" s="68"/>
      <x:c r="I447" s="39" t="str">
        <x:v>lively</x:v>
      </x:c>
      <x:c r="J447" s="28" t="str">
        <x:v>/ˈlaɪvli/</x:v>
      </x:c>
      <x:c r="K447" s="40" t="str">
        <x:v>活泼的；轻快的</x:v>
      </x:c>
    </x:row>
    <x:row r="448" ht="20" customHeight="1">
      <x:c r="A448" s="37" t="str">
        <x:v>left</x:v>
      </x:c>
      <x:c r="B448" s="21" t="str">
        <x:v>/left/</x:v>
      </x:c>
      <x:c r="C448" s="38" t="str">
        <x:v>左边；左侧</x:v>
      </x:c>
      <x:c r="D448" s="68"/>
      <x:c r="E448" s="37" t="str">
        <x:v>laugh</x:v>
      </x:c>
      <x:c r="F448" s="21" t="str">
        <x:v>/lɑːf/</x:v>
      </x:c>
      <x:c r="G448" s="38" t="str">
        <x:v>笑；发笑</x:v>
      </x:c>
      <x:c r="H448" s="68"/>
      <x:c r="I448" s="37" t="str">
        <x:v>local</x:v>
      </x:c>
      <x:c r="J448" s="21" t="str">
        <x:v>/ˈləʊkl/</x:v>
      </x:c>
      <x:c r="K448" s="38" t="str">
        <x:v>当地的；本地的</x:v>
      </x:c>
    </x:row>
    <x:row r="449" ht="20" customHeight="1">
      <x:c r="A449" s="39" t="str">
        <x:v>leg</x:v>
      </x:c>
      <x:c r="B449" s="28" t="str">
        <x:v>/leɡ/</x:v>
      </x:c>
      <x:c r="C449" s="40" t="str">
        <x:v>腿</x:v>
      </x:c>
      <x:c r="D449" s="68"/>
      <x:c r="E449" s="39" t="str">
        <x:v>lead</x:v>
      </x:c>
      <x:c r="F449" s="28" t="str">
        <x:v>/liːd/</x:v>
      </x:c>
      <x:c r="G449" s="40" t="str">
        <x:v>(led /led/; led) 领导；率领</x:v>
      </x:c>
      <x:c r="H449" s="68"/>
      <x:c r="I449" s="39" t="str">
        <x:v>lonely</x:v>
      </x:c>
      <x:c r="J449" s="28" t="str">
        <x:v>/ˈləʊnli/</x:v>
      </x:c>
      <x:c r="K449" s="40" t="str">
        <x:v>孤独的；寂寞的</x:v>
      </x:c>
    </x:row>
    <x:row r="450" ht="20" customHeight="1">
      <x:c r="A450" s="37" t="str">
        <x:v>lemon</x:v>
      </x:c>
      <x:c r="B450" s="21" t="str">
        <x:v>/ˈlemən/</x:v>
      </x:c>
      <x:c r="C450" s="38" t="str">
        <x:v>柠檬</x:v>
      </x:c>
      <x:c r="D450" s="68"/>
      <x:c r="E450" s="37" t="str">
        <x:v>learn</x:v>
      </x:c>
      <x:c r="F450" s="21" t="str">
        <x:v>/lɜːn/</x:v>
      </x:c>
      <x:c r="G450" s="38" t="str">
        <x:v>(learnt/learned; learnt/learned) 学；学习</x:v>
      </x:c>
      <x:c r="H450" s="68"/>
      <x:c r="I450" s="37" t="str">
        <x:v>long</x:v>
      </x:c>
      <x:c r="J450" s="21" t="str">
        <x:v>/lɒŋ/</x:v>
      </x:c>
      <x:c r="K450" s="38" t="str">
        <x:v>长的；长时间的</x:v>
      </x:c>
    </x:row>
    <x:row r="451" ht="20" customHeight="1">
      <x:c r="A451" s="39" t="str">
        <x:v>lesson</x:v>
      </x:c>
      <x:c r="B451" s="28" t="str">
        <x:v>/ˈlesn/</x:v>
      </x:c>
      <x:c r="C451" s="40" t="str">
        <x:v>一节课；课</x:v>
      </x:c>
      <x:c r="D451" s="68"/>
      <x:c r="E451" s="39" t="str">
        <x:v>leave</x:v>
      </x:c>
      <x:c r="F451" s="28" t="str">
        <x:v>/liːv/</x:v>
      </x:c>
      <x:c r="G451" s="40" t="str">
        <x:v>(left /left/; left) 离开；丢下；遗忘</x:v>
      </x:c>
      <x:c r="H451" s="68"/>
      <x:c r="I451" s="39" t="str">
        <x:v>loud</x:v>
      </x:c>
      <x:c r="J451" s="28" t="str">
        <x:v>/laʊd/</x:v>
      </x:c>
      <x:c r="K451" s="40" t="str">
        <x:v>大声的；响亮的</x:v>
      </x:c>
    </x:row>
    <x:row r="452" ht="20" customHeight="1">
      <x:c r="A452" s="37" t="str">
        <x:v>letter</x:v>
      </x:c>
      <x:c r="B452" s="21" t="str">
        <x:v>/ˈletə(r)/</x:v>
      </x:c>
      <x:c r="C452" s="38" t="str">
        <x:v>字母；信</x:v>
      </x:c>
      <x:c r="D452" s="68"/>
      <x:c r="E452" s="37" t="str">
        <x:v>lend</x:v>
      </x:c>
      <x:c r="F452" s="21" t="str">
        <x:v>/lend/</x:v>
      </x:c>
      <x:c r="G452" s="38" t="str">
        <x:v>(lent /lent/; lent) 借出（注：词表中未标，按中考高频补充）</x:v>
      </x:c>
      <x:c r="H452" s="68"/>
      <x:c r="I452" s="37" t="str">
        <x:v>lovely</x:v>
      </x:c>
      <x:c r="J452" s="21" t="str">
        <x:v>/ˈlʌvli/</x:v>
      </x:c>
      <x:c r="K452" s="38" t="str">
        <x:v>令人愉快的；可爱的</x:v>
      </x:c>
    </x:row>
    <x:row r="453" ht="20" customHeight="1">
      <x:c r="A453" s="39" t="str">
        <x:v>level</x:v>
      </x:c>
      <x:c r="B453" s="28" t="str">
        <x:v>/ˈlevl/</x:v>
      </x:c>
      <x:c r="C453" s="40" t="str">
        <x:v>水平</x:v>
      </x:c>
      <x:c r="D453" s="68"/>
      <x:c r="E453" s="39" t="str">
        <x:v>let</x:v>
      </x:c>
      <x:c r="F453" s="28" t="str">
        <x:v>/let/</x:v>
      </x:c>
      <x:c r="G453" s="40" t="str">
        <x:v>让；使</x:v>
      </x:c>
      <x:c r="H453" s="68"/>
      <x:c r="I453" s="39" t="str">
        <x:v>low</x:v>
      </x:c>
      <x:c r="J453" s="28" t="str">
        <x:v>/ləʊ/</x:v>
      </x:c>
      <x:c r="K453" s="40" t="str">
        <x:v>矮的；低的</x:v>
      </x:c>
    </x:row>
    <x:row r="454" ht="20" customHeight="1">
      <x:c r="A454" s="37" t="str">
        <x:v>library</x:v>
      </x:c>
      <x:c r="B454" s="21" t="str">
        <x:v>/ˈlaɪbrəri/</x:v>
      </x:c>
      <x:c r="C454" s="38" t="str">
        <x:v>图书馆</x:v>
      </x:c>
      <x:c r="D454" s="68"/>
      <x:c r="E454" s="37" t="str">
        <x:v>lift</x:v>
      </x:c>
      <x:c r="F454" s="21" t="str">
        <x:v>/lɪft/</x:v>
      </x:c>
      <x:c r="G454" s="38" t="str">
        <x:v>举起；抬起；提起</x:v>
      </x:c>
      <x:c r="H454" s="68"/>
      <x:c r="I454" s="37" t="str">
        <x:v>lucky</x:v>
      </x:c>
      <x:c r="J454" s="21" t="str">
        <x:v>/ˈlʌki/</x:v>
      </x:c>
      <x:c r="K454" s="38" t="str">
        <x:v>幸运的</x:v>
      </x:c>
    </x:row>
    <x:row r="455" ht="17" customHeight="1">
      <x:c r="A455" s="39" t="str">
        <x:v>light</x:v>
      </x:c>
      <x:c r="B455" s="28" t="str">
        <x:v>/laɪt/</x:v>
      </x:c>
      <x:c r="C455" s="40" t="str">
        <x:v>光；光线；光亮</x:v>
      </x:c>
      <x:c r="D455" s="68"/>
      <x:c r="E455" s="39" t="str">
        <x:v>light</x:v>
      </x:c>
      <x:c r="F455" s="28" t="str">
        <x:v>/laɪt/</x:v>
      </x:c>
      <x:c r="G455" s="40" t="str">
        <x:v>点燃；照亮（注：词表中未标，按中考高频补充）</x:v>
      </x:c>
      <x:c r="H455" s="68"/>
      <x:c r="I455" s="73" t="str">
        <x:v>副词（7）</x:v>
      </x:c>
      <x:c r="J455" s="68"/>
      <x:c r="K455" s="74"/>
    </x:row>
    <x:row r="456" ht="20" customHeight="1">
      <x:c r="A456" s="37" t="str">
        <x:v>line</x:v>
      </x:c>
      <x:c r="B456" s="21" t="str">
        <x:v>/laɪn/</x:v>
      </x:c>
      <x:c r="C456" s="38" t="str">
        <x:v>线；排；列</x:v>
      </x:c>
      <x:c r="D456" s="68"/>
      <x:c r="E456" s="37" t="str">
        <x:v>like</x:v>
      </x:c>
      <x:c r="F456" s="21" t="str">
        <x:v>/laɪk/</x:v>
      </x:c>
      <x:c r="G456" s="38" t="str">
        <x:v>喜欢；喜爱</x:v>
      </x:c>
      <x:c r="H456" s="68"/>
      <x:c r="I456" s="37" t="str">
        <x:v>last</x:v>
      </x:c>
      <x:c r="J456" s="21" t="str">
        <x:v>/lɑːst/</x:v>
      </x:c>
      <x:c r="K456" s="38" t="str">
        <x:v>最后；最终</x:v>
      </x:c>
    </x:row>
    <x:row r="457" ht="20" customHeight="1">
      <x:c r="A457" s="39" t="str">
        <x:v>list</x:v>
      </x:c>
      <x:c r="B457" s="28" t="str">
        <x:v>/lɪst/</x:v>
      </x:c>
      <x:c r="C457" s="40" t="str">
        <x:v>名单；清单</x:v>
      </x:c>
      <x:c r="D457" s="68"/>
      <x:c r="E457" s="39" t="str">
        <x:v>listen</x:v>
      </x:c>
      <x:c r="F457" s="28" t="str">
        <x:v>/ˈlɪsn/</x:v>
      </x:c>
      <x:c r="G457" s="40" t="str">
        <x:v>听；倾听</x:v>
      </x:c>
      <x:c r="H457" s="68"/>
      <x:c r="I457" s="39" t="str">
        <x:v>late</x:v>
      </x:c>
      <x:c r="J457" s="28" t="str">
        <x:v>/leɪt/</x:v>
      </x:c>
      <x:c r="K457" s="40" t="str">
        <x:v>迟；晚</x:v>
      </x:c>
    </x:row>
    <x:row r="458" ht="20" customHeight="1">
      <x:c r="A458" s="41" t="str">
        <x:v>listen</x:v>
      </x:c>
      <x:c r="B458" s="42" t="str">
        <x:v>/ˈlɪsn/</x:v>
      </x:c>
      <x:c r="C458" s="43" t="str">
        <x:v>听；倾听</x:v>
      </x:c>
      <x:c r="D458" s="68"/>
      <x:c r="E458" s="41" t="str">
        <x:v>live</x:v>
      </x:c>
      <x:c r="F458" s="42" t="str">
        <x:v>/lɪv/</x:v>
      </x:c>
      <x:c r="G458" s="43" t="str">
        <x:v>生活；居住</x:v>
      </x:c>
      <x:c r="H458" s="68"/>
      <x:c r="I458" s="41" t="str">
        <x:v>later</x:v>
      </x:c>
      <x:c r="J458" s="42" t="str">
        <x:v>/ˈleɪtə(r)/</x:v>
      </x:c>
      <x:c r="K458" s="43" t="str">
        <x:v>后来；以后</x:v>
      </x:c>
    </x:row>
    <x:row r="459">
      <x:c r="A459" s="68"/>
      <x:c r="B459" s="68"/>
      <x:c r="C459" s="68"/>
      <x:c r="D459" s="68"/>
      <x:c r="E459" s="68"/>
      <x:c r="F459" s="68"/>
      <x:c r="G459" s="68"/>
      <x:c r="H459" s="68"/>
      <x:c r="I459" s="68"/>
      <x:c r="J459" s="68"/>
      <x:c r="K459" s="68"/>
    </x:row>
    <x:row r="460" ht="27" customHeight="1">
      <x:c r="A460" s="65" t="str">
        <x:v>L 开头单词（2/2）</x:v>
      </x:c>
      <x:c r="B460" s="66"/>
      <x:c r="C460" s="67"/>
      <x:c r="D460" s="68"/>
      <x:c r="E460" s="69"/>
      <x:c r="F460" s="66"/>
      <x:c r="G460" s="67"/>
      <x:c r="H460" s="68"/>
      <x:c r="I460" s="69"/>
      <x:c r="J460" s="66"/>
      <x:c r="K460" s="67"/>
    </x:row>
    <x:row r="461" ht="19" customHeight="1">
      <x:c r="A461" s="70" t="str">
        <x:v>英文单词 / 短语</x:v>
      </x:c>
      <x:c r="B461" s="71" t="str">
        <x:v>音标</x:v>
      </x:c>
      <x:c r="C461" s="72" t="str">
        <x:v>中文解释</x:v>
      </x:c>
      <x:c r="D461" s="68"/>
      <x:c r="E461" s="70" t="str">
        <x:v>英文单词 / 短语</x:v>
      </x:c>
      <x:c r="F461" s="71" t="str">
        <x:v>音标</x:v>
      </x:c>
      <x:c r="G461" s="72" t="str">
        <x:v>中文解释</x:v>
      </x:c>
      <x:c r="H461" s="68"/>
      <x:c r="I461" s="70" t="str">
        <x:v>英文单词 / 短语</x:v>
      </x:c>
      <x:c r="J461" s="71" t="str">
        <x:v>音标</x:v>
      </x:c>
      <x:c r="K461" s="72" t="str">
        <x:v>中文解释</x:v>
      </x:c>
    </x:row>
    <x:row r="462" ht="20" customHeight="1">
      <x:c r="A462" s="39" t="str">
        <x:v>left</x:v>
      </x:c>
      <x:c r="B462" s="28" t="str">
        <x:v>/left/</x:v>
      </x:c>
      <x:c r="C462" s="40" t="str">
        <x:v>在左边；向左侧</x:v>
      </x:c>
      <x:c r="D462" s="68"/>
      <x:c r="E462" s="39" t="str">
        <x:v>lost</x:v>
      </x:c>
      <x:c r="F462" s="28" t="str"/>
      <x:c r="G462" s="40" t="str">
        <x:v>and found office 失物招领处</x:v>
      </x:c>
      <x:c r="H462" s="68"/>
      <x:c r="I462" s="75"/>
      <x:c r="J462" s="68"/>
      <x:c r="K462" s="74"/>
    </x:row>
    <x:row r="463" ht="20" customHeight="1">
      <x:c r="A463" s="37" t="str">
        <x:v>light</x:v>
      </x:c>
      <x:c r="B463" s="21" t="str">
        <x:v>/laɪt/</x:v>
      </x:c>
      <x:c r="C463" s="38" t="str">
        <x:v>轻地；少量地（注：词表中未标，按中考高频补充）</x:v>
      </x:c>
      <x:c r="D463" s="68"/>
      <x:c r="E463" s="75"/>
      <x:c r="F463" s="68"/>
      <x:c r="G463" s="74"/>
      <x:c r="H463" s="68"/>
      <x:c r="I463" s="75"/>
      <x:c r="J463" s="68"/>
      <x:c r="K463" s="74"/>
    </x:row>
    <x:row r="464" ht="20" customHeight="1">
      <x:c r="A464" s="39" t="str">
        <x:v>loud</x:v>
      </x:c>
      <x:c r="B464" s="28" t="str">
        <x:v>/laʊd/</x:v>
      </x:c>
      <x:c r="C464" s="40" t="str">
        <x:v>大声地；响亮地</x:v>
      </x:c>
      <x:c r="D464" s="68"/>
      <x:c r="E464" s="75"/>
      <x:c r="F464" s="68"/>
      <x:c r="G464" s="74"/>
      <x:c r="H464" s="68"/>
      <x:c r="I464" s="75"/>
      <x:c r="J464" s="68"/>
      <x:c r="K464" s="74"/>
    </x:row>
    <x:row r="465" ht="20" customHeight="1">
      <x:c r="A465" s="37" t="str">
        <x:v>low</x:v>
      </x:c>
      <x:c r="B465" s="21" t="str">
        <x:v>/ləʊ/</x:v>
      </x:c>
      <x:c r="C465" s="38" t="str">
        <x:v>低地；低声地（注：词表中未标，按中考高频补充）</x:v>
      </x:c>
      <x:c r="D465" s="68"/>
      <x:c r="E465" s="75"/>
      <x:c r="F465" s="68"/>
      <x:c r="G465" s="74"/>
      <x:c r="H465" s="68"/>
      <x:c r="I465" s="75"/>
      <x:c r="J465" s="68"/>
      <x:c r="K465" s="74"/>
    </x:row>
    <x:row r="466" ht="17" customHeight="1">
      <x:c r="A466" s="73" t="str">
        <x:v>介词（1）</x:v>
      </x:c>
      <x:c r="B466" s="68"/>
      <x:c r="C466" s="74"/>
      <x:c r="D466" s="68"/>
      <x:c r="E466" s="75"/>
      <x:c r="F466" s="68"/>
      <x:c r="G466" s="74"/>
      <x:c r="H466" s="68"/>
      <x:c r="I466" s="75"/>
      <x:c r="J466" s="68"/>
      <x:c r="K466" s="74"/>
    </x:row>
    <x:row r="467" ht="20" customHeight="1">
      <x:c r="A467" s="37" t="str">
        <x:v>like</x:v>
      </x:c>
      <x:c r="B467" s="21" t="str">
        <x:v>/laɪk/</x:v>
      </x:c>
      <x:c r="C467" s="38" t="str">
        <x:v>如同；像</x:v>
      </x:c>
      <x:c r="D467" s="68"/>
      <x:c r="E467" s="75"/>
      <x:c r="F467" s="68"/>
      <x:c r="G467" s="74"/>
      <x:c r="H467" s="68"/>
      <x:c r="I467" s="75"/>
      <x:c r="J467" s="68"/>
      <x:c r="K467" s="74"/>
    </x:row>
    <x:row r="468" ht="17" customHeight="1">
      <x:c r="A468" s="73" t="str">
        <x:v>代词（1）</x:v>
      </x:c>
      <x:c r="B468" s="68"/>
      <x:c r="C468" s="74"/>
      <x:c r="D468" s="68"/>
      <x:c r="E468" s="75"/>
      <x:c r="F468" s="68"/>
      <x:c r="G468" s="74"/>
      <x:c r="H468" s="68"/>
      <x:c r="I468" s="75"/>
      <x:c r="J468" s="68"/>
      <x:c r="K468" s="74"/>
    </x:row>
    <x:row r="469" ht="20" customHeight="1">
      <x:c r="A469" s="37" t="str">
        <x:v>little</x:v>
      </x:c>
      <x:c r="B469" s="21" t="str">
        <x:v>/ˈlɪtl/</x:v>
      </x:c>
      <x:c r="C469" s="38" t="str">
        <x:v>少量；少许</x:v>
      </x:c>
      <x:c r="D469" s="68"/>
      <x:c r="E469" s="75"/>
      <x:c r="F469" s="68"/>
      <x:c r="G469" s="74"/>
      <x:c r="H469" s="68"/>
      <x:c r="I469" s="75"/>
      <x:c r="J469" s="68"/>
      <x:c r="K469" s="74"/>
    </x:row>
    <x:row r="470" ht="17" customHeight="1">
      <x:c r="A470" s="73" t="str">
        <x:v>数词（1）</x:v>
      </x:c>
      <x:c r="B470" s="68"/>
      <x:c r="C470" s="74"/>
      <x:c r="D470" s="68"/>
      <x:c r="E470" s="75"/>
      <x:c r="F470" s="68"/>
      <x:c r="G470" s="74"/>
      <x:c r="H470" s="68"/>
      <x:c r="I470" s="75"/>
      <x:c r="J470" s="68"/>
      <x:c r="K470" s="74"/>
    </x:row>
    <x:row r="471" ht="20" customHeight="1">
      <x:c r="A471" s="37" t="str">
        <x:v>无纯数词。</x:v>
      </x:c>
      <x:c r="B471" s="21" t="str"/>
      <x:c r="C471" s="38" t="str"/>
      <x:c r="D471" s="68"/>
      <x:c r="E471" s="75"/>
      <x:c r="F471" s="68"/>
      <x:c r="G471" s="74"/>
      <x:c r="H471" s="68"/>
      <x:c r="I471" s="75"/>
      <x:c r="J471" s="68"/>
      <x:c r="K471" s="74"/>
    </x:row>
    <x:row r="472" ht="17" customHeight="1">
      <x:c r="A472" s="73" t="str">
        <x:v>短语（14）</x:v>
      </x:c>
      <x:c r="B472" s="68"/>
      <x:c r="C472" s="74"/>
      <x:c r="D472" s="68"/>
      <x:c r="E472" s="75"/>
      <x:c r="F472" s="68"/>
      <x:c r="G472" s="74"/>
      <x:c r="H472" s="68"/>
      <x:c r="I472" s="75"/>
      <x:c r="J472" s="68"/>
      <x:c r="K472" s="74"/>
    </x:row>
    <x:row r="473" ht="20" customHeight="1">
      <x:c r="A473" s="37" t="str">
        <x:v>a</x:v>
      </x:c>
      <x:c r="B473" s="21" t="str"/>
      <x:c r="C473" s="38" t="str">
        <x:v>little 少量；少许</x:v>
      </x:c>
      <x:c r="D473" s="68"/>
      <x:c r="E473" s="75"/>
      <x:c r="F473" s="68"/>
      <x:c r="G473" s="74"/>
      <x:c r="H473" s="68"/>
      <x:c r="I473" s="75"/>
      <x:c r="J473" s="68"/>
      <x:c r="K473" s="74"/>
    </x:row>
    <x:row r="474" ht="20" customHeight="1">
      <x:c r="A474" s="39" t="str">
        <x:v>at</x:v>
      </x:c>
      <x:c r="B474" s="28" t="str"/>
      <x:c r="C474" s="40" t="str">
        <x:v>last 最后；终于</x:v>
      </x:c>
      <x:c r="D474" s="68"/>
      <x:c r="E474" s="75"/>
      <x:c r="F474" s="68"/>
      <x:c r="G474" s="74"/>
      <x:c r="H474" s="68"/>
      <x:c r="I474" s="75"/>
      <x:c r="J474" s="68"/>
      <x:c r="K474" s="74"/>
    </x:row>
    <x:row r="475" ht="20" customHeight="1">
      <x:c r="A475" s="37" t="str">
        <x:v>a</x:v>
      </x:c>
      <x:c r="B475" s="21" t="str"/>
      <x:c r="C475" s="38" t="str">
        <x:v>lot of / lots of 大量；许多</x:v>
      </x:c>
      <x:c r="D475" s="68"/>
      <x:c r="E475" s="75"/>
      <x:c r="F475" s="68"/>
      <x:c r="G475" s="74"/>
      <x:c r="H475" s="68"/>
      <x:c r="I475" s="75"/>
      <x:c r="J475" s="68"/>
      <x:c r="K475" s="74"/>
    </x:row>
    <x:row r="476" ht="20" customHeight="1">
      <x:c r="A476" s="39" t="str">
        <x:v>have</x:v>
      </x:c>
      <x:c r="B476" s="28" t="str"/>
      <x:c r="C476" s="40" t="str">
        <x:v>lunch 吃午餐</x:v>
      </x:c>
      <x:c r="D476" s="68"/>
      <x:c r="E476" s="75"/>
      <x:c r="F476" s="68"/>
      <x:c r="G476" s="74"/>
      <x:c r="H476" s="68"/>
      <x:c r="I476" s="75"/>
      <x:c r="J476" s="68"/>
      <x:c r="K476" s="74"/>
    </x:row>
    <x:row r="477" ht="20" customHeight="1">
      <x:c r="A477" s="37" t="str">
        <x:v>let’s</x:v>
      </x:c>
      <x:c r="B477" s="21" t="str"/>
      <x:c r="C477" s="38" t="str">
        <x:v>let us 让我们</x:v>
      </x:c>
      <x:c r="D477" s="68"/>
      <x:c r="E477" s="75"/>
      <x:c r="F477" s="68"/>
      <x:c r="G477" s="74"/>
      <x:c r="H477" s="68"/>
      <x:c r="I477" s="75"/>
      <x:c r="J477" s="68"/>
      <x:c r="K477" s="74"/>
    </x:row>
    <x:row r="478" ht="20" customHeight="1">
      <x:c r="A478" s="39" t="str">
        <x:v>look</x:v>
      </x:c>
      <x:c r="B478" s="28" t="str"/>
      <x:c r="C478" s="40" t="str">
        <x:v>after 照顾；照看</x:v>
      </x:c>
      <x:c r="D478" s="68"/>
      <x:c r="E478" s="75"/>
      <x:c r="F478" s="68"/>
      <x:c r="G478" s="74"/>
      <x:c r="H478" s="68"/>
      <x:c r="I478" s="75"/>
      <x:c r="J478" s="68"/>
      <x:c r="K478" s="74"/>
    </x:row>
    <x:row r="479" ht="20" customHeight="1">
      <x:c r="A479" s="37" t="str">
        <x:v>look</x:v>
      </x:c>
      <x:c r="B479" s="21" t="str"/>
      <x:c r="C479" s="38" t="str">
        <x:v>at 看</x:v>
      </x:c>
      <x:c r="D479" s="68"/>
      <x:c r="E479" s="75"/>
      <x:c r="F479" s="68"/>
      <x:c r="G479" s="74"/>
      <x:c r="H479" s="68"/>
      <x:c r="I479" s="75"/>
      <x:c r="J479" s="68"/>
      <x:c r="K479" s="74"/>
    </x:row>
    <x:row r="480" ht="20" customHeight="1">
      <x:c r="A480" s="39" t="str">
        <x:v>look</x:v>
      </x:c>
      <x:c r="B480" s="28" t="str"/>
      <x:c r="C480" s="40" t="str">
        <x:v>for 寻找</x:v>
      </x:c>
      <x:c r="D480" s="68"/>
      <x:c r="E480" s="75"/>
      <x:c r="F480" s="68"/>
      <x:c r="G480" s="74"/>
      <x:c r="H480" s="68"/>
      <x:c r="I480" s="75"/>
      <x:c r="J480" s="68"/>
      <x:c r="K480" s="74"/>
    </x:row>
    <x:row r="481" ht="20" customHeight="1">
      <x:c r="A481" s="37" t="str">
        <x:v>look</x:v>
      </x:c>
      <x:c r="B481" s="21" t="str"/>
      <x:c r="C481" s="38" t="str">
        <x:v>up 查看；查找</x:v>
      </x:c>
      <x:c r="D481" s="68"/>
      <x:c r="E481" s="75"/>
      <x:c r="F481" s="68"/>
      <x:c r="G481" s="74"/>
      <x:c r="H481" s="68"/>
      <x:c r="I481" s="75"/>
      <x:c r="J481" s="68"/>
      <x:c r="K481" s="74"/>
    </x:row>
    <x:row r="482" ht="20" customHeight="1">
      <x:c r="A482" s="39" t="str">
        <x:v>make</x:v>
      </x:c>
      <x:c r="B482" s="28" t="str"/>
      <x:c r="C482" s="40" t="str">
        <x:v>a list 列清单</x:v>
      </x:c>
      <x:c r="D482" s="68"/>
      <x:c r="E482" s="75"/>
      <x:c r="F482" s="68"/>
      <x:c r="G482" s="74"/>
      <x:c r="H482" s="68"/>
      <x:c r="I482" s="75"/>
      <x:c r="J482" s="68"/>
      <x:c r="K482" s="74"/>
    </x:row>
    <x:row r="483" ht="20" customHeight="1">
      <x:c r="A483" s="37" t="str">
        <x:v>on</x:v>
      </x:c>
      <x:c r="B483" s="21" t="str"/>
      <x:c r="C483" s="38" t="str">
        <x:v>the left 在左边；在左侧</x:v>
      </x:c>
      <x:c r="D483" s="68"/>
      <x:c r="E483" s="75"/>
      <x:c r="F483" s="68"/>
      <x:c r="G483" s="74"/>
      <x:c r="H483" s="68"/>
      <x:c r="I483" s="75"/>
      <x:c r="J483" s="68"/>
      <x:c r="K483" s="74"/>
    </x:row>
    <x:row r="484" ht="20" customHeight="1">
      <x:c r="A484" s="39" t="str">
        <x:v>lift</x:v>
      </x:c>
      <x:c r="B484" s="28" t="str"/>
      <x:c r="C484" s="40" t="str">
        <x:v>up 抬起；提起</x:v>
      </x:c>
      <x:c r="D484" s="68"/>
      <x:c r="E484" s="75"/>
      <x:c r="F484" s="68"/>
      <x:c r="G484" s="74"/>
      <x:c r="H484" s="68"/>
      <x:c r="I484" s="75"/>
      <x:c r="J484" s="68"/>
      <x:c r="K484" s="74"/>
    </x:row>
    <x:row r="485" ht="20" customHeight="1">
      <x:c r="A485" s="41" t="str">
        <x:v>lost</x:v>
      </x:c>
      <x:c r="B485" s="42" t="str"/>
      <x:c r="C485" s="43" t="str">
        <x:v>and found box 失物招领箱</x:v>
      </x:c>
      <x:c r="D485" s="68"/>
      <x:c r="E485" s="76"/>
      <x:c r="F485" s="77"/>
      <x:c r="G485" s="78"/>
      <x:c r="H485" s="68"/>
      <x:c r="I485" s="76"/>
      <x:c r="J485" s="77"/>
      <x:c r="K485" s="78"/>
    </x:row>
    <x:row r="486">
      <x:c r="A486" s="68"/>
      <x:c r="B486" s="68"/>
      <x:c r="C486" s="68"/>
      <x:c r="D486" s="68"/>
      <x:c r="E486" s="68"/>
      <x:c r="F486" s="68"/>
      <x:c r="G486" s="68"/>
      <x:c r="H486" s="68"/>
      <x:c r="I486" s="68"/>
      <x:c r="J486" s="68"/>
      <x:c r="K486" s="68"/>
    </x:row>
    <x:row r="487" ht="27" customHeight="1">
      <x:c r="A487" s="65" t="str">
        <x:v>M 开头单词</x:v>
      </x:c>
      <x:c r="B487" s="66"/>
      <x:c r="C487" s="67"/>
      <x:c r="D487" s="68"/>
      <x:c r="E487" s="69"/>
      <x:c r="F487" s="66"/>
      <x:c r="G487" s="67"/>
      <x:c r="H487" s="68"/>
      <x:c r="I487" s="69"/>
      <x:c r="J487" s="66"/>
      <x:c r="K487" s="67"/>
    </x:row>
    <x:row r="488" ht="19" customHeight="1">
      <x:c r="A488" s="70" t="str">
        <x:v>英文单词 / 短语</x:v>
      </x:c>
      <x:c r="B488" s="71" t="str">
        <x:v>音标</x:v>
      </x:c>
      <x:c r="C488" s="72" t="str">
        <x:v>中文解释</x:v>
      </x:c>
      <x:c r="D488" s="68"/>
      <x:c r="E488" s="70" t="str">
        <x:v>英文单词 / 短语</x:v>
      </x:c>
      <x:c r="F488" s="71" t="str">
        <x:v>音标</x:v>
      </x:c>
      <x:c r="G488" s="72" t="str">
        <x:v>中文解释</x:v>
      </x:c>
      <x:c r="H488" s="68"/>
      <x:c r="I488" s="70" t="str">
        <x:v>英文单词 / 短语</x:v>
      </x:c>
      <x:c r="J488" s="71" t="str">
        <x:v>音标</x:v>
      </x:c>
      <x:c r="K488" s="72" t="str">
        <x:v>中文解释</x:v>
      </x:c>
    </x:row>
    <x:row r="489" ht="20" customHeight="1">
      <x:c r="A489" s="73" t="str">
        <x:v>名词（25）</x:v>
      </x:c>
      <x:c r="B489" s="68"/>
      <x:c r="C489" s="74"/>
      <x:c r="D489" s="68"/>
      <x:c r="E489" s="39" t="str">
        <x:v>music</x:v>
      </x:c>
      <x:c r="F489" s="28" t="str">
        <x:v>/ˈmjuːzɪk/</x:v>
      </x:c>
      <x:c r="G489" s="40" t="str">
        <x:v>音乐</x:v>
      </x:c>
      <x:c r="H489" s="68"/>
      <x:c r="I489" s="39" t="str">
        <x:v>much</x:v>
      </x:c>
      <x:c r="J489" s="28" t="str">
        <x:v>/mʌtʃ/</x:v>
      </x:c>
      <x:c r="K489" s="40" t="str">
        <x:v>许多的；大量的</x:v>
      </x:c>
    </x:row>
    <x:row r="490" ht="20" customHeight="1">
      <x:c r="A490" s="37" t="str">
        <x:v>machine</x:v>
      </x:c>
      <x:c r="B490" s="21" t="str">
        <x:v>/məˈʃiːn/</x:v>
      </x:c>
      <x:c r="C490" s="38" t="str">
        <x:v>机器</x:v>
      </x:c>
      <x:c r="D490" s="68"/>
      <x:c r="E490" s="37" t="str">
        <x:v>museum</x:v>
      </x:c>
      <x:c r="F490" s="21" t="str">
        <x:v>/mjuˈziːəm/</x:v>
      </x:c>
      <x:c r="G490" s="38" t="str">
        <x:v>博物馆</x:v>
      </x:c>
      <x:c r="H490" s="68"/>
      <x:c r="I490" s="37" t="str">
        <x:v>magic</x:v>
      </x:c>
      <x:c r="J490" s="21" t="str">
        <x:v>/ˈmædʒɪk/</x:v>
      </x:c>
      <x:c r="K490" s="38" t="str">
        <x:v>有魔力的</x:v>
      </x:c>
    </x:row>
    <x:row r="491" ht="20" customHeight="1">
      <x:c r="A491" s="39" t="str">
        <x:v>mail</x:v>
      </x:c>
      <x:c r="B491" s="28" t="str">
        <x:v>/meɪl/</x:v>
      </x:c>
      <x:c r="C491" s="40" t="str">
        <x:v>邮件</x:v>
      </x:c>
      <x:c r="D491" s="68"/>
      <x:c r="E491" s="73" t="str">
        <x:v>动词（14）</x:v>
      </x:c>
      <x:c r="F491" s="68"/>
      <x:c r="G491" s="74"/>
      <x:c r="H491" s="68"/>
      <x:c r="I491" s="39" t="str">
        <x:v>medical</x:v>
      </x:c>
      <x:c r="J491" s="28" t="str">
        <x:v>/ˈmedɪkl/</x:v>
      </x:c>
      <x:c r="K491" s="40" t="str">
        <x:v>医学的；医疗的</x:v>
      </x:c>
    </x:row>
    <x:row r="492" ht="20" customHeight="1">
      <x:c r="A492" s="37" t="str">
        <x:v>man</x:v>
      </x:c>
      <x:c r="B492" s="21" t="str">
        <x:v>/mæn/</x:v>
      </x:c>
      <x:c r="C492" s="38" t="str">
        <x:v>男人；人类</x:v>
      </x:c>
      <x:c r="D492" s="68"/>
      <x:c r="E492" s="37" t="str">
        <x:v>make</x:v>
      </x:c>
      <x:c r="F492" s="21" t="str">
        <x:v>/meɪk/</x:v>
      </x:c>
      <x:c r="G492" s="38" t="str">
        <x:v>做；制作；使；让</x:v>
      </x:c>
      <x:c r="H492" s="68"/>
      <x:c r="I492" s="37" t="str">
        <x:v>midnight</x:v>
      </x:c>
      <x:c r="J492" s="21" t="str">
        <x:v>/ˈmɪdnaɪt/</x:v>
      </x:c>
      <x:c r="K492" s="38" t="str">
        <x:v>午夜的</x:v>
      </x:c>
    </x:row>
    <x:row r="493" ht="20" customHeight="1">
      <x:c r="A493" s="39" t="str">
        <x:v>March</x:v>
      </x:c>
      <x:c r="B493" s="28" t="str">
        <x:v>/mɑːtʃ/</x:v>
      </x:c>
      <x:c r="C493" s="40" t="str">
        <x:v>三月</x:v>
      </x:c>
      <x:c r="D493" s="68"/>
      <x:c r="E493" s="39" t="str">
        <x:v>mark</x:v>
      </x:c>
      <x:c r="F493" s="28" t="str">
        <x:v>/mɑːk/</x:v>
      </x:c>
      <x:c r="G493" s="40" t="str">
        <x:v>做记号；打分</x:v>
      </x:c>
      <x:c r="H493" s="68"/>
      <x:c r="I493" s="39" t="str">
        <x:v>mistaken</x:v>
      </x:c>
      <x:c r="J493" s="28" t="str">
        <x:v>/mɪˈsteɪkən/</x:v>
      </x:c>
      <x:c r="K493" s="40" t="str">
        <x:v>错误的</x:v>
      </x:c>
    </x:row>
    <x:row r="494" ht="20" customHeight="1">
      <x:c r="A494" s="37" t="str">
        <x:v>market</x:v>
      </x:c>
      <x:c r="B494" s="21" t="str">
        <x:v>/ˈmɑːkɪt/</x:v>
      </x:c>
      <x:c r="C494" s="38" t="str">
        <x:v>市场</x:v>
      </x:c>
      <x:c r="D494" s="68"/>
      <x:c r="E494" s="37" t="str">
        <x:v>match</x:v>
      </x:c>
      <x:c r="F494" s="21" t="str">
        <x:v>/mætʃ/</x:v>
      </x:c>
      <x:c r="G494" s="38" t="str">
        <x:v>使相配；使相称；匹配</x:v>
      </x:c>
      <x:c r="H494" s="68"/>
      <x:c r="I494" s="37" t="str">
        <x:v>moving</x:v>
      </x:c>
      <x:c r="J494" s="21" t="str">
        <x:v>/ˈmuːvɪŋ/</x:v>
      </x:c>
      <x:c r="K494" s="38" t="str">
        <x:v>感人的</x:v>
      </x:c>
    </x:row>
    <x:row r="495" ht="20" customHeight="1">
      <x:c r="A495" s="39" t="str">
        <x:v>May</x:v>
      </x:c>
      <x:c r="B495" s="28" t="str">
        <x:v>/meɪ/</x:v>
      </x:c>
      <x:c r="C495" s="40" t="str">
        <x:v>五月</x:v>
      </x:c>
      <x:c r="D495" s="68"/>
      <x:c r="E495" s="39" t="str">
        <x:v>matter</x:v>
      </x:c>
      <x:c r="F495" s="28" t="str">
        <x:v>/ˈmætə/</x:v>
      </x:c>
      <x:c r="G495" s="40" t="str">
        <x:v>要紧；有重大关系</x:v>
      </x:c>
      <x:c r="H495" s="68"/>
      <x:c r="I495" s="39" t="str">
        <x:v>myself</x:v>
      </x:c>
      <x:c r="J495" s="28" t="str">
        <x:v>/maɪˈself/</x:v>
      </x:c>
      <x:c r="K495" s="40" t="str">
        <x:v>我自己的</x:v>
      </x:c>
    </x:row>
    <x:row r="496" ht="17" customHeight="1">
      <x:c r="A496" s="37" t="str">
        <x:v>meat</x:v>
      </x:c>
      <x:c r="B496" s="21" t="str">
        <x:v>/miːt/</x:v>
      </x:c>
      <x:c r="C496" s="38" t="str">
        <x:v>肉</x:v>
      </x:c>
      <x:c r="D496" s="68"/>
      <x:c r="E496" s="37" t="str">
        <x:v>mean</x:v>
      </x:c>
      <x:c r="F496" s="21" t="str">
        <x:v>/miːn/</x:v>
      </x:c>
      <x:c r="G496" s="38" t="str">
        <x:v>意思是；意味着；打算</x:v>
      </x:c>
      <x:c r="H496" s="68"/>
      <x:c r="I496" s="73" t="str">
        <x:v>副词（10）</x:v>
      </x:c>
      <x:c r="J496" s="68"/>
      <x:c r="K496" s="74"/>
    </x:row>
    <x:row r="497" ht="20" customHeight="1">
      <x:c r="A497" s="39" t="str">
        <x:v>member</x:v>
      </x:c>
      <x:c r="B497" s="28" t="str">
        <x:v>/ˈmembə/</x:v>
      </x:c>
      <x:c r="C497" s="40" t="str">
        <x:v>成员；会员</x:v>
      </x:c>
      <x:c r="D497" s="68"/>
      <x:c r="E497" s="39" t="str">
        <x:v>meet</x:v>
      </x:c>
      <x:c r="F497" s="28" t="str">
        <x:v>/miːt/</x:v>
      </x:c>
      <x:c r="G497" s="40" t="str">
        <x:v>遇见；相逢</x:v>
      </x:c>
      <x:c r="H497" s="68"/>
      <x:c r="I497" s="39" t="str">
        <x:v>maybe</x:v>
      </x:c>
      <x:c r="J497" s="28" t="str">
        <x:v>/ˈmeɪbi/</x:v>
      </x:c>
      <x:c r="K497" s="40" t="str">
        <x:v>也许；可能</x:v>
      </x:c>
    </x:row>
    <x:row r="498" ht="20" customHeight="1">
      <x:c r="A498" s="37" t="str">
        <x:v>message</x:v>
      </x:c>
      <x:c r="B498" s="21" t="str">
        <x:v>/ˈmesɪdʒ/</x:v>
      </x:c>
      <x:c r="C498" s="38" t="str">
        <x:v>消息；信息</x:v>
      </x:c>
      <x:c r="D498" s="68"/>
      <x:c r="E498" s="37" t="str">
        <x:v>mix</x:v>
      </x:c>
      <x:c r="F498" s="21" t="str">
        <x:v>/mɪks/</x:v>
      </x:c>
      <x:c r="G498" s="38" t="str">
        <x:v>混合；掺和</x:v>
      </x:c>
      <x:c r="H498" s="68"/>
      <x:c r="I498" s="37" t="str">
        <x:v>more</x:v>
      </x:c>
      <x:c r="J498" s="21" t="str">
        <x:v>/mɔː(r)/</x:v>
      </x:c>
      <x:c r="K498" s="38" t="str">
        <x:v>更；更多</x:v>
      </x:c>
    </x:row>
    <x:row r="499" ht="20" customHeight="1">
      <x:c r="A499" s="39" t="str">
        <x:v>middle</x:v>
      </x:c>
      <x:c r="B499" s="28" t="str">
        <x:v>/ˈmɪdl/</x:v>
      </x:c>
      <x:c r="C499" s="40" t="str">
        <x:v>中间；中央</x:v>
      </x:c>
      <x:c r="D499" s="68"/>
      <x:c r="E499" s="39" t="str">
        <x:v>move</x:v>
      </x:c>
      <x:c r="F499" s="28" t="str">
        <x:v>/muːv/</x:v>
      </x:c>
      <x:c r="G499" s="40" t="str">
        <x:v>移动；搬动</x:v>
      </x:c>
      <x:c r="H499" s="68"/>
      <x:c r="I499" s="39" t="str">
        <x:v>most</x:v>
      </x:c>
      <x:c r="J499" s="28" t="str">
        <x:v>/məʊst/</x:v>
      </x:c>
      <x:c r="K499" s="40" t="str">
        <x:v>最；极其</x:v>
      </x:c>
    </x:row>
    <x:row r="500" ht="20" customHeight="1">
      <x:c r="A500" s="37" t="str">
        <x:v>mile</x:v>
      </x:c>
      <x:c r="B500" s="21" t="str">
        <x:v>/maɪl/</x:v>
      </x:c>
      <x:c r="C500" s="38" t="str">
        <x:v>英里</x:v>
      </x:c>
      <x:c r="D500" s="68"/>
      <x:c r="E500" s="37" t="str">
        <x:v>multiply</x:v>
      </x:c>
      <x:c r="F500" s="21" t="str">
        <x:v>/ˈmʌltɪplaɪ/</x:v>
      </x:c>
      <x:c r="G500" s="38" t="str">
        <x:v>乘</x:v>
      </x:c>
      <x:c r="H500" s="68"/>
      <x:c r="I500" s="37" t="str">
        <x:v>much</x:v>
      </x:c>
      <x:c r="J500" s="21" t="str">
        <x:v>/mʌtʃ/</x:v>
      </x:c>
      <x:c r="K500" s="38" t="str">
        <x:v>非常；很</x:v>
      </x:c>
    </x:row>
    <x:row r="501" ht="20" customHeight="1">
      <x:c r="A501" s="39" t="str">
        <x:v>mind</x:v>
      </x:c>
      <x:c r="B501" s="28" t="str">
        <x:v>/maɪnd/</x:v>
      </x:c>
      <x:c r="C501" s="40" t="str">
        <x:v>头脑；心智</x:v>
      </x:c>
      <x:c r="D501" s="68"/>
      <x:c r="E501" s="39" t="str">
        <x:v>make</x:v>
      </x:c>
      <x:c r="F501" s="28" t="str"/>
      <x:c r="G501" s="40" t="str">
        <x:v>up 编写；创作</x:v>
      </x:c>
      <x:c r="H501" s="68"/>
      <x:c r="I501" s="39" t="str">
        <x:v>too</x:v>
      </x:c>
      <x:c r="J501" s="28" t="str"/>
      <x:c r="K501" s="40" t="str">
        <x:v>much 太多</x:v>
      </x:c>
    </x:row>
    <x:row r="502" ht="20" customHeight="1">
      <x:c r="A502" s="37" t="str">
        <x:v>minute</x:v>
      </x:c>
      <x:c r="B502" s="21" t="str">
        <x:v>/ˈmɪnɪt/</x:v>
      </x:c>
      <x:c r="C502" s="38" t="str">
        <x:v>分钟</x:v>
      </x:c>
      <x:c r="D502" s="68"/>
      <x:c r="E502" s="37" t="str">
        <x:v>make</x:v>
      </x:c>
      <x:c r="F502" s="21" t="str"/>
      <x:c r="G502" s="38" t="str">
        <x:v>sure 确保；确认</x:v>
      </x:c>
      <x:c r="H502" s="68"/>
      <x:c r="I502" s="37" t="str">
        <x:v>any</x:v>
      </x:c>
      <x:c r="J502" s="21" t="str"/>
      <x:c r="K502" s="38" t="str">
        <x:v>more 再；还；仍</x:v>
      </x:c>
    </x:row>
    <x:row r="503" ht="20" customHeight="1">
      <x:c r="A503" s="39" t="str">
        <x:v>Miss</x:v>
      </x:c>
      <x:c r="B503" s="28" t="str">
        <x:v>/mɪs/</x:v>
      </x:c>
      <x:c r="C503" s="40" t="str">
        <x:v>（对未婚女性的称呼）小姐；老师</x:v>
      </x:c>
      <x:c r="D503" s="68"/>
      <x:c r="E503" s="39" t="str">
        <x:v>make</x:v>
      </x:c>
      <x:c r="F503" s="28" t="str"/>
      <x:c r="G503" s="40" t="str">
        <x:v>friends 交朋友</x:v>
      </x:c>
      <x:c r="H503" s="68"/>
      <x:c r="I503" s="39" t="str">
        <x:v>no</x:v>
      </x:c>
      <x:c r="J503" s="28" t="str"/>
      <x:c r="K503" s="40" t="str">
        <x:v>more 不再</x:v>
      </x:c>
    </x:row>
    <x:row r="504" ht="20" customHeight="1">
      <x:c r="A504" s="37" t="str">
        <x:v>moment</x:v>
      </x:c>
      <x:c r="B504" s="21" t="str">
        <x:v>/ˈməʊmənt/</x:v>
      </x:c>
      <x:c r="C504" s="38" t="str">
        <x:v>片刻；时刻；瞬间</x:v>
      </x:c>
      <x:c r="D504" s="68"/>
      <x:c r="E504" s="37" t="str">
        <x:v>May</x:v>
      </x:c>
      <x:c r="F504" s="21" t="str"/>
      <x:c r="G504" s="38" t="str">
        <x:v>Day 五一劳动节</x:v>
      </x:c>
      <x:c r="H504" s="68"/>
      <x:c r="I504" s="37" t="str">
        <x:v>at</x:v>
      </x:c>
      <x:c r="J504" s="21" t="str"/>
      <x:c r="K504" s="38" t="str">
        <x:v>the moment 此刻；目前</x:v>
      </x:c>
    </x:row>
    <x:row r="505" ht="20" customHeight="1">
      <x:c r="A505" s="39" t="str">
        <x:v>money</x:v>
      </x:c>
      <x:c r="B505" s="28" t="str">
        <x:v>/ˈmʌni/</x:v>
      </x:c>
      <x:c r="C505" s="40" t="str">
        <x:v>钱；金钱</x:v>
      </x:c>
      <x:c r="D505" s="68"/>
      <x:c r="E505" s="39" t="str">
        <x:v>Mother's</x:v>
      </x:c>
      <x:c r="F505" s="28" t="str"/>
      <x:c r="G505" s="40" t="str">
        <x:v>Day 母亲节</x:v>
      </x:c>
      <x:c r="H505" s="68"/>
      <x:c r="I505" s="39" t="str">
        <x:v>good</x:v>
      </x:c>
      <x:c r="J505" s="28" t="str"/>
      <x:c r="K505" s="40" t="str">
        <x:v>morning 早上好</x:v>
      </x:c>
    </x:row>
    <x:row r="506" ht="20" customHeight="1">
      <x:c r="A506" s="37" t="str">
        <x:v>monkey</x:v>
      </x:c>
      <x:c r="B506" s="21" t="str">
        <x:v>/ˈmʌŋki/</x:v>
      </x:c>
      <x:c r="C506" s="38" t="str">
        <x:v>猴子</x:v>
      </x:c>
      <x:c r="D506" s="68"/>
      <x:c r="E506" s="73" t="str">
        <x:v>形容词（13）</x:v>
      </x:c>
      <x:c r="F506" s="68"/>
      <x:c r="G506" s="74"/>
      <x:c r="H506" s="68"/>
      <x:c r="I506" s="37" t="str">
        <x:v>once</x:v>
      </x:c>
      <x:c r="J506" s="21" t="str"/>
      <x:c r="K506" s="38" t="str">
        <x:v>more 再一次</x:v>
      </x:c>
    </x:row>
    <x:row r="507" ht="17" customHeight="1">
      <x:c r="A507" s="39" t="str">
        <x:v>morning</x:v>
      </x:c>
      <x:c r="B507" s="28" t="str">
        <x:v>/ˈmɔːnɪŋ/</x:v>
      </x:c>
      <x:c r="C507" s="40" t="str">
        <x:v>早晨；上午</x:v>
      </x:c>
      <x:c r="D507" s="68"/>
      <x:c r="E507" s="39" t="str">
        <x:v>main</x:v>
      </x:c>
      <x:c r="F507" s="28" t="str">
        <x:v>/meɪn/</x:v>
      </x:c>
      <x:c r="G507" s="40" t="str">
        <x:v>主要的；最重要的</x:v>
      </x:c>
      <x:c r="H507" s="68"/>
      <x:c r="I507" s="73" t="str">
        <x:v>介词（1）</x:v>
      </x:c>
      <x:c r="J507" s="68"/>
      <x:c r="K507" s="74"/>
    </x:row>
    <x:row r="508" ht="20" customHeight="1">
      <x:c r="A508" s="37" t="str">
        <x:v>mother</x:v>
      </x:c>
      <x:c r="B508" s="21" t="str">
        <x:v>/ˈmʌðə/</x:v>
      </x:c>
      <x:c r="C508" s="38" t="str">
        <x:v>母亲；妈妈</x:v>
      </x:c>
      <x:c r="D508" s="68"/>
      <x:c r="E508" s="37" t="str">
        <x:v>many</x:v>
      </x:c>
      <x:c r="F508" s="21" t="str">
        <x:v>/ˈmeni/</x:v>
      </x:c>
      <x:c r="G508" s="38" t="str">
        <x:v>许多的；多的</x:v>
      </x:c>
      <x:c r="H508" s="68"/>
      <x:c r="I508" s="37" t="str">
        <x:v>minus</x:v>
      </x:c>
      <x:c r="J508" s="21" t="str">
        <x:v>/ˈmaɪnəs/</x:v>
      </x:c>
      <x:c r="K508" s="38" t="str">
        <x:v>减；减去</x:v>
      </x:c>
    </x:row>
    <x:row r="509" ht="17" customHeight="1">
      <x:c r="A509" s="39" t="str">
        <x:v>movie</x:v>
      </x:c>
      <x:c r="B509" s="28" t="str">
        <x:v>/ˈmuːvi/</x:v>
      </x:c>
      <x:c r="C509" s="40" t="str">
        <x:v>电影</x:v>
      </x:c>
      <x:c r="D509" s="68"/>
      <x:c r="E509" s="39" t="str">
        <x:v>middle</x:v>
      </x:c>
      <x:c r="F509" s="28" t="str">
        <x:v>/ˈmɪdl/</x:v>
      </x:c>
      <x:c r="G509" s="40" t="str">
        <x:v>中间的；中央的</x:v>
      </x:c>
      <x:c r="H509" s="68"/>
      <x:c r="I509" s="73" t="str">
        <x:v>代词（1）</x:v>
      </x:c>
      <x:c r="J509" s="68"/>
      <x:c r="K509" s="74"/>
    </x:row>
    <x:row r="510" ht="20" customHeight="1">
      <x:c r="A510" s="37" t="str">
        <x:v>Mr</x:v>
      </x:c>
      <x:c r="B510" s="21" t="str">
        <x:v>/ˈmɪstə(r)/</x:v>
      </x:c>
      <x:c r="C510" s="38" t="str">
        <x:v>先生</x:v>
      </x:c>
      <x:c r="D510" s="68"/>
      <x:c r="E510" s="37" t="str">
        <x:v>modern</x:v>
      </x:c>
      <x:c r="F510" s="21" t="str">
        <x:v>/ˈmɒdn/</x:v>
      </x:c>
      <x:c r="G510" s="38" t="str">
        <x:v>现代的</x:v>
      </x:c>
      <x:c r="H510" s="68"/>
      <x:c r="I510" s="37" t="str">
        <x:v>myself</x:v>
      </x:c>
      <x:c r="J510" s="21" t="str">
        <x:v>/maɪˈself/</x:v>
      </x:c>
      <x:c r="K510" s="38" t="str">
        <x:v>我自己</x:v>
      </x:c>
    </x:row>
    <x:row r="511" ht="17" customHeight="1">
      <x:c r="A511" s="39" t="str">
        <x:v>Mrs</x:v>
      </x:c>
      <x:c r="B511" s="28" t="str">
        <x:v>/ˈmɪsɪz/</x:v>
      </x:c>
      <x:c r="C511" s="40" t="str">
        <x:v>夫人；太太</x:v>
      </x:c>
      <x:c r="D511" s="68"/>
      <x:c r="E511" s="39" t="str">
        <x:v>more</x:v>
      </x:c>
      <x:c r="F511" s="28" t="str">
        <x:v>/mɔː(r)/</x:v>
      </x:c>
      <x:c r="G511" s="40" t="str">
        <x:v>更多的</x:v>
      </x:c>
      <x:c r="H511" s="68"/>
      <x:c r="I511" s="73" t="str">
        <x:v>数词（1）</x:v>
      </x:c>
      <x:c r="J511" s="68"/>
      <x:c r="K511" s="74"/>
    </x:row>
    <x:row r="512" ht="20" customHeight="1">
      <x:c r="A512" s="41" t="str">
        <x:v>Ms</x:v>
      </x:c>
      <x:c r="B512" s="42" t="str">
        <x:v>/mɪz/</x:v>
      </x:c>
      <x:c r="C512" s="43" t="str">
        <x:v>女士</x:v>
      </x:c>
      <x:c r="D512" s="68"/>
      <x:c r="E512" s="41" t="str">
        <x:v>most</x:v>
      </x:c>
      <x:c r="F512" s="42" t="str">
        <x:v>/məʊst/</x:v>
      </x:c>
      <x:c r="G512" s="43" t="str">
        <x:v>最多的；大部分的</x:v>
      </x:c>
      <x:c r="H512" s="68"/>
      <x:c r="I512" s="41" t="str">
        <x:v>million</x:v>
      </x:c>
      <x:c r="J512" s="42" t="str">
        <x:v>/ˈmɪljən/</x:v>
      </x:c>
      <x:c r="K512" s="43" t="str">
        <x:v>百万</x:v>
      </x:c>
    </x:row>
    <x:row r="513">
      <x:c r="A513" s="68"/>
      <x:c r="B513" s="68"/>
      <x:c r="C513" s="68"/>
      <x:c r="D513" s="68"/>
      <x:c r="E513" s="68"/>
      <x:c r="F513" s="68"/>
      <x:c r="G513" s="68"/>
      <x:c r="H513" s="68"/>
      <x:c r="I513" s="68"/>
      <x:c r="J513" s="68"/>
      <x:c r="K513" s="68"/>
    </x:row>
    <x:row r="514" ht="27" customHeight="1">
      <x:c r="A514" s="65" t="str">
        <x:v>N 开头单词</x:v>
      </x:c>
      <x:c r="B514" s="66"/>
      <x:c r="C514" s="67"/>
      <x:c r="D514" s="68"/>
      <x:c r="E514" s="69"/>
      <x:c r="F514" s="66"/>
      <x:c r="G514" s="67"/>
      <x:c r="H514" s="68"/>
      <x:c r="I514" s="69"/>
      <x:c r="J514" s="66"/>
      <x:c r="K514" s="67"/>
    </x:row>
    <x:row r="515" ht="19" customHeight="1">
      <x:c r="A515" s="70" t="str">
        <x:v>英文单词 / 短语</x:v>
      </x:c>
      <x:c r="B515" s="71" t="str">
        <x:v>音标</x:v>
      </x:c>
      <x:c r="C515" s="72" t="str">
        <x:v>中文解释</x:v>
      </x:c>
      <x:c r="D515" s="68"/>
      <x:c r="E515" s="70" t="str">
        <x:v>英文单词 / 短语</x:v>
      </x:c>
      <x:c r="F515" s="71" t="str">
        <x:v>音标</x:v>
      </x:c>
      <x:c r="G515" s="72" t="str">
        <x:v>中文解释</x:v>
      </x:c>
      <x:c r="H515" s="68"/>
      <x:c r="I515" s="70" t="str">
        <x:v>英文单词 / 短语</x:v>
      </x:c>
      <x:c r="J515" s="71" t="str">
        <x:v>音标</x:v>
      </x:c>
      <x:c r="K515" s="72" t="str">
        <x:v>中文解释</x:v>
      </x:c>
    </x:row>
    <x:row r="516" ht="20" customHeight="1">
      <x:c r="A516" s="73" t="str">
        <x:v>名词（18）</x:v>
      </x:c>
      <x:c r="B516" s="68"/>
      <x:c r="C516" s="74"/>
      <x:c r="D516" s="68"/>
      <x:c r="E516" s="39" t="str">
        <x:v>natural</x:v>
      </x:c>
      <x:c r="F516" s="28" t="str">
        <x:v>/ˈnætʃrəl/</x:v>
      </x:c>
      <x:c r="G516" s="40" t="str">
        <x:v>自然的；天然的</x:v>
      </x:c>
      <x:c r="H516" s="68"/>
      <x:c r="I516" s="39" t="str">
        <x:v>neither</x:v>
      </x:c>
      <x:c r="J516" s="28" t="str">
        <x:v>/ˈnaɪðə/</x:v>
      </x:c>
      <x:c r="K516" s="40" t="str">
        <x:v>两者都不（补充）</x:v>
      </x:c>
    </x:row>
    <x:row r="517" ht="17" customHeight="1">
      <x:c r="A517" s="37" t="str">
        <x:v>name</x:v>
      </x:c>
      <x:c r="B517" s="21" t="str">
        <x:v>/neɪm/</x:v>
      </x:c>
      <x:c r="C517" s="38" t="str">
        <x:v>名字；名称</x:v>
      </x:c>
      <x:c r="D517" s="68"/>
      <x:c r="E517" s="37" t="str">
        <x:v>near</x:v>
      </x:c>
      <x:c r="F517" s="21" t="str">
        <x:v>/nɪə/</x:v>
      </x:c>
      <x:c r="G517" s="38" t="str">
        <x:v>在……附近；靠近</x:v>
      </x:c>
      <x:c r="H517" s="68"/>
      <x:c r="I517" s="73" t="str">
        <x:v>数词（4）</x:v>
      </x:c>
      <x:c r="J517" s="68"/>
      <x:c r="K517" s="74"/>
    </x:row>
    <x:row r="518" ht="20" customHeight="1">
      <x:c r="A518" s="39" t="str">
        <x:v>nationality</x:v>
      </x:c>
      <x:c r="B518" s="28" t="str">
        <x:v>/ˌnæʃəˈnæləti/</x:v>
      </x:c>
      <x:c r="C518" s="40" t="str">
        <x:v>国籍</x:v>
      </x:c>
      <x:c r="D518" s="68"/>
      <x:c r="E518" s="39" t="str">
        <x:v>new</x:v>
      </x:c>
      <x:c r="F518" s="28" t="str">
        <x:v>/njuː/</x:v>
      </x:c>
      <x:c r="G518" s="40" t="str">
        <x:v>新的；新鲜的</x:v>
      </x:c>
      <x:c r="H518" s="68"/>
      <x:c r="I518" s="39" t="str">
        <x:v>nine</x:v>
      </x:c>
      <x:c r="J518" s="28" t="str">
        <x:v>/naɪn/</x:v>
      </x:c>
      <x:c r="K518" s="40" t="str">
        <x:v>九</x:v>
      </x:c>
    </x:row>
    <x:row r="519" ht="20" customHeight="1">
      <x:c r="A519" s="37" t="str">
        <x:v>nature</x:v>
      </x:c>
      <x:c r="B519" s="21" t="str">
        <x:v>/ˈneɪtʃə/</x:v>
      </x:c>
      <x:c r="C519" s="38" t="str">
        <x:v>大自然；自然界</x:v>
      </x:c>
      <x:c r="D519" s="68"/>
      <x:c r="E519" s="37" t="str">
        <x:v>nice</x:v>
      </x:c>
      <x:c r="F519" s="21" t="str">
        <x:v>/naɪs/</x:v>
      </x:c>
      <x:c r="G519" s="38" t="str">
        <x:v>友好的；亲切的；令人愉快的</x:v>
      </x:c>
      <x:c r="H519" s="68"/>
      <x:c r="I519" s="37" t="str">
        <x:v>ninety</x:v>
      </x:c>
      <x:c r="J519" s="21" t="str">
        <x:v>/ˈnaɪnti/</x:v>
      </x:c>
      <x:c r="K519" s="38" t="str">
        <x:v>九十</x:v>
      </x:c>
    </x:row>
    <x:row r="520" ht="20" customHeight="1">
      <x:c r="A520" s="39" t="str">
        <x:v>neck</x:v>
      </x:c>
      <x:c r="B520" s="28" t="str">
        <x:v>/nek/</x:v>
      </x:c>
      <x:c r="C520" s="40" t="str">
        <x:v>颈；脖子</x:v>
      </x:c>
      <x:c r="D520" s="68"/>
      <x:c r="E520" s="39" t="str">
        <x:v>no</x:v>
      </x:c>
      <x:c r="F520" s="28" t="str">
        <x:v>/nəʊ/</x:v>
      </x:c>
      <x:c r="G520" s="40" t="str">
        <x:v>没有；无</x:v>
      </x:c>
      <x:c r="H520" s="68"/>
      <x:c r="I520" s="39" t="str">
        <x:v>ninth</x:v>
      </x:c>
      <x:c r="J520" s="28" t="str">
        <x:v>/naɪnθ/</x:v>
      </x:c>
      <x:c r="K520" s="40" t="str">
        <x:v>第九</x:v>
      </x:c>
    </x:row>
    <x:row r="521" ht="20" customHeight="1">
      <x:c r="A521" s="37" t="str">
        <x:v>noise</x:v>
      </x:c>
      <x:c r="B521" s="21" t="str">
        <x:v>/nɔɪz/</x:v>
      </x:c>
      <x:c r="C521" s="38" t="str">
        <x:v>噪声；噪音；杂音</x:v>
      </x:c>
      <x:c r="D521" s="68"/>
      <x:c r="E521" s="37" t="str">
        <x:v>north</x:v>
      </x:c>
      <x:c r="F521" s="21" t="str">
        <x:v>/nɔːθ/</x:v>
      </x:c>
      <x:c r="G521" s="38" t="str">
        <x:v>在北方的；朝北的</x:v>
      </x:c>
      <x:c r="H521" s="68"/>
      <x:c r="I521" s="37" t="str">
        <x:v>number</x:v>
      </x:c>
      <x:c r="J521" s="21" t="str">
        <x:v>/ˈnʌmbə/</x:v>
      </x:c>
      <x:c r="K521" s="38" t="str">
        <x:v>数字（补充）</x:v>
      </x:c>
    </x:row>
    <x:row r="522" ht="17" customHeight="1">
      <x:c r="A522" s="39" t="str">
        <x:v>north</x:v>
      </x:c>
      <x:c r="B522" s="28" t="str">
        <x:v>/nɔːθ/</x:v>
      </x:c>
      <x:c r="C522" s="40" t="str">
        <x:v>北；北方</x:v>
      </x:c>
      <x:c r="D522" s="68"/>
      <x:c r="E522" s="39" t="str">
        <x:v>northwest</x:v>
      </x:c>
      <x:c r="F522" s="28" t="str">
        <x:v>/ˌnɔːθˈwest/</x:v>
      </x:c>
      <x:c r="G522" s="40" t="str">
        <x:v>西北的；朝西北的</x:v>
      </x:c>
      <x:c r="H522" s="68"/>
      <x:c r="I522" s="73" t="str">
        <x:v>短语（8）</x:v>
      </x:c>
      <x:c r="J522" s="68"/>
      <x:c r="K522" s="74"/>
    </x:row>
    <x:row r="523" ht="20" customHeight="1">
      <x:c r="A523" s="37" t="str">
        <x:v>northwest</x:v>
      </x:c>
      <x:c r="B523" s="21" t="str">
        <x:v>/ˌnɔːθˈwest/</x:v>
      </x:c>
      <x:c r="C523" s="38" t="str">
        <x:v>西北</x:v>
      </x:c>
      <x:c r="D523" s="68"/>
      <x:c r="E523" s="37" t="str">
        <x:v>nervous</x:v>
      </x:c>
      <x:c r="F523" s="21" t="str">
        <x:v>/ˈnɜːvəs/</x:v>
      </x:c>
      <x:c r="G523" s="38" t="str">
        <x:v>紧张的</x:v>
      </x:c>
      <x:c r="H523" s="68"/>
      <x:c r="I523" s="37" t="str">
        <x:v>neither...nor...</x:v>
      </x:c>
      <x:c r="J523" s="21" t="str"/>
      <x:c r="K523" s="38" t="str">
        <x:v>既不……也不……</x:v>
      </x:c>
    </x:row>
    <x:row r="524" ht="20" customHeight="1">
      <x:c r="A524" s="39" t="str">
        <x:v>notebook</x:v>
      </x:c>
      <x:c r="B524" s="28" t="str">
        <x:v>/ˈnəʊtbʊk/</x:v>
      </x:c>
      <x:c r="C524" s="40" t="str">
        <x:v>笔记本</x:v>
      </x:c>
      <x:c r="D524" s="68"/>
      <x:c r="E524" s="39" t="str">
        <x:v>next</x:v>
      </x:c>
      <x:c r="F524" s="28" t="str">
        <x:v>/nekst/</x:v>
      </x:c>
      <x:c r="G524" s="40" t="str">
        <x:v>下一个的；紧接的</x:v>
      </x:c>
      <x:c r="H524" s="68"/>
      <x:c r="I524" s="39" t="str">
        <x:v>next</x:v>
      </x:c>
      <x:c r="J524" s="28" t="str"/>
      <x:c r="K524" s="40" t="str">
        <x:v>to 紧挨着；靠近</x:v>
      </x:c>
    </x:row>
    <x:row r="525" ht="20" customHeight="1">
      <x:c r="A525" s="37" t="str">
        <x:v>notice</x:v>
      </x:c>
      <x:c r="B525" s="21" t="str">
        <x:v>/ˈnəʊtɪs/</x:v>
      </x:c>
      <x:c r="C525" s="38" t="str">
        <x:v>通知；布告</x:v>
      </x:c>
      <x:c r="D525" s="68"/>
      <x:c r="E525" s="37" t="str">
        <x:v>northern</x:v>
      </x:c>
      <x:c r="F525" s="21" t="str">
        <x:v>/ˈnɔːðən/</x:v>
      </x:c>
      <x:c r="G525" s="38" t="str">
        <x:v>北方的；北部的</x:v>
      </x:c>
      <x:c r="H525" s="68"/>
      <x:c r="I525" s="37" t="str">
        <x:v>no</x:v>
      </x:c>
      <x:c r="J525" s="21" t="str"/>
      <x:c r="K525" s="38" t="str">
        <x:v>problem 没问题</x:v>
      </x:c>
    </x:row>
    <x:row r="526" ht="20" customHeight="1">
      <x:c r="A526" s="39" t="str">
        <x:v>novel</x:v>
      </x:c>
      <x:c r="B526" s="28" t="str">
        <x:v>/ˈnɒvl/</x:v>
      </x:c>
      <x:c r="C526" s="40" t="str">
        <x:v>（长篇）小说</x:v>
      </x:c>
      <x:c r="D526" s="68"/>
      <x:c r="E526" s="39" t="str">
        <x:v>noisy</x:v>
      </x:c>
      <x:c r="F526" s="28" t="str">
        <x:v>/ˈnɔɪzi/</x:v>
      </x:c>
      <x:c r="G526" s="40" t="str">
        <x:v>吵闹的</x:v>
      </x:c>
      <x:c r="H526" s="68"/>
      <x:c r="I526" s="39" t="str">
        <x:v>not</x:v>
      </x:c>
      <x:c r="J526" s="28" t="str"/>
      <x:c r="K526" s="40" t="str">
        <x:v>at all 一点也不</x:v>
      </x:c>
    </x:row>
    <x:row r="527" ht="20" customHeight="1">
      <x:c r="A527" s="37" t="str">
        <x:v>National</x:v>
      </x:c>
      <x:c r="B527" s="21" t="str"/>
      <x:c r="C527" s="38" t="str">
        <x:v>Day 国庆节</x:v>
      </x:c>
      <x:c r="D527" s="68"/>
      <x:c r="E527" s="37" t="str">
        <x:v>none</x:v>
      </x:c>
      <x:c r="F527" s="21" t="str">
        <x:v>/nʌn/</x:v>
      </x:c>
      <x:c r="G527" s="38" t="str">
        <x:v>没有一个；毫无</x:v>
      </x:c>
      <x:c r="H527" s="68"/>
      <x:c r="I527" s="37" t="str">
        <x:v>none</x:v>
      </x:c>
      <x:c r="J527" s="21" t="str"/>
      <x:c r="K527" s="38" t="str">
        <x:v>of 没有一个</x:v>
      </x:c>
    </x:row>
    <x:row r="528" ht="20" customHeight="1">
      <x:c r="A528" s="39" t="str">
        <x:v>newspaper</x:v>
      </x:c>
      <x:c r="B528" s="28" t="str">
        <x:v>/ˈnjuːzpeɪpə/</x:v>
      </x:c>
      <x:c r="C528" s="40" t="str">
        <x:v>报纸</x:v>
      </x:c>
      <x:c r="D528" s="68"/>
      <x:c r="E528" s="39" t="str">
        <x:v>now</x:v>
      </x:c>
      <x:c r="F528" s="28" t="str">
        <x:v>/naʊ/</x:v>
      </x:c>
      <x:c r="G528" s="40" t="str">
        <x:v>现在；目前</x:v>
      </x:c>
      <x:c r="H528" s="68"/>
      <x:c r="I528" s="39" t="str">
        <x:v>not...any</x:v>
      </x:c>
      <x:c r="J528" s="28" t="str"/>
      <x:c r="K528" s="40" t="str">
        <x:v>more 不再</x:v>
      </x:c>
    </x:row>
    <x:row r="529" ht="20" customHeight="1">
      <x:c r="A529" s="37" t="str">
        <x:v>night</x:v>
      </x:c>
      <x:c r="B529" s="21" t="str">
        <x:v>/naɪt/</x:v>
      </x:c>
      <x:c r="C529" s="38" t="str">
        <x:v>夜晚</x:v>
      </x:c>
      <x:c r="D529" s="68"/>
      <x:c r="E529" s="73" t="str">
        <x:v>副词（8）</x:v>
      </x:c>
      <x:c r="F529" s="68"/>
      <x:c r="G529" s="74"/>
      <x:c r="H529" s="68"/>
      <x:c r="I529" s="37" t="str">
        <x:v>have</x:v>
      </x:c>
      <x:c r="J529" s="21" t="str"/>
      <x:c r="K529" s="38" t="str">
        <x:v>no idea 不知道</x:v>
      </x:c>
    </x:row>
    <x:row r="530" ht="20" customHeight="1">
      <x:c r="A530" s="39" t="str">
        <x:v>nine</x:v>
      </x:c>
      <x:c r="B530" s="28" t="str">
        <x:v>/naɪn/</x:v>
      </x:c>
      <x:c r="C530" s="40" t="str">
        <x:v>九</x:v>
      </x:c>
      <x:c r="D530" s="68"/>
      <x:c r="E530" s="39" t="str">
        <x:v>near</x:v>
      </x:c>
      <x:c r="F530" s="28" t="str">
        <x:v>/nɪə/</x:v>
      </x:c>
      <x:c r="G530" s="40" t="str">
        <x:v>近；接近</x:v>
      </x:c>
      <x:c r="H530" s="68"/>
      <x:c r="I530" s="39" t="str">
        <x:v>National</x:v>
      </x:c>
      <x:c r="J530" s="28" t="str"/>
      <x:c r="K530" s="40" t="str">
        <x:v>Day 国庆节</x:v>
      </x:c>
    </x:row>
    <x:row r="531" ht="20" customHeight="1">
      <x:c r="A531" s="37" t="str">
        <x:v>ninety</x:v>
      </x:c>
      <x:c r="B531" s="21" t="str">
        <x:v>/ˈnaɪnti/</x:v>
      </x:c>
      <x:c r="C531" s="38" t="str">
        <x:v>九十</x:v>
      </x:c>
      <x:c r="D531" s="68"/>
      <x:c r="E531" s="37" t="str">
        <x:v>next</x:v>
      </x:c>
      <x:c r="F531" s="21" t="str">
        <x:v>/nekst/</x:v>
      </x:c>
      <x:c r="G531" s="38" t="str">
        <x:v>然后；接下来</x:v>
      </x:c>
      <x:c r="H531" s="68"/>
      <x:c r="I531" s="75"/>
      <x:c r="J531" s="68"/>
      <x:c r="K531" s="74"/>
    </x:row>
    <x:row r="532" ht="20" customHeight="1">
      <x:c r="A532" s="39" t="str">
        <x:v>ninth</x:v>
      </x:c>
      <x:c r="B532" s="28" t="str">
        <x:v>/naɪnθ/</x:v>
      </x:c>
      <x:c r="C532" s="40" t="str">
        <x:v>第九</x:v>
      </x:c>
      <x:c r="D532" s="68"/>
      <x:c r="E532" s="39" t="str">
        <x:v>no</x:v>
      </x:c>
      <x:c r="F532" s="28" t="str">
        <x:v>/nəʊ/</x:v>
      </x:c>
      <x:c r="G532" s="40" t="str">
        <x:v>不；不是；没有</x:v>
      </x:c>
      <x:c r="H532" s="68"/>
      <x:c r="I532" s="75"/>
      <x:c r="J532" s="68"/>
      <x:c r="K532" s="74"/>
    </x:row>
    <x:row r="533" ht="20" customHeight="1">
      <x:c r="A533" s="37" t="str">
        <x:v>number</x:v>
      </x:c>
      <x:c r="B533" s="21" t="str">
        <x:v>/ˈnʌmbə/</x:v>
      </x:c>
      <x:c r="C533" s="38" t="str">
        <x:v>数字；号码</x:v>
      </x:c>
      <x:c r="D533" s="68"/>
      <x:c r="E533" s="37" t="str">
        <x:v>none</x:v>
      </x:c>
      <x:c r="F533" s="21" t="str">
        <x:v>/nʌn/</x:v>
      </x:c>
      <x:c r="G533" s="38" t="str">
        <x:v>一点也不；毫不</x:v>
      </x:c>
      <x:c r="H533" s="68"/>
      <x:c r="I533" s="75"/>
      <x:c r="J533" s="68"/>
      <x:c r="K533" s="74"/>
    </x:row>
    <x:row r="534" ht="20" customHeight="1">
      <x:c r="A534" s="39" t="str">
        <x:v>nurse</x:v>
      </x:c>
      <x:c r="B534" s="28" t="str">
        <x:v>/nɜːs/</x:v>
      </x:c>
      <x:c r="C534" s="40" t="str">
        <x:v>护士</x:v>
      </x:c>
      <x:c r="D534" s="68"/>
      <x:c r="E534" s="39" t="str">
        <x:v>now</x:v>
      </x:c>
      <x:c r="F534" s="28" t="str">
        <x:v>/naʊ/</x:v>
      </x:c>
      <x:c r="G534" s="40" t="str">
        <x:v>现在；此刻</x:v>
      </x:c>
      <x:c r="H534" s="68"/>
      <x:c r="I534" s="75"/>
      <x:c r="J534" s="68"/>
      <x:c r="K534" s="74"/>
    </x:row>
    <x:row r="535" ht="20" customHeight="1">
      <x:c r="A535" s="73" t="str">
        <x:v>动词（2）</x:v>
      </x:c>
      <x:c r="B535" s="68"/>
      <x:c r="C535" s="74"/>
      <x:c r="D535" s="68"/>
      <x:c r="E535" s="37" t="str">
        <x:v>not</x:v>
      </x:c>
      <x:c r="F535" s="21" t="str">
        <x:v>/nɒt/</x:v>
      </x:c>
      <x:c r="G535" s="38" t="str">
        <x:v>不；没有</x:v>
      </x:c>
      <x:c r="H535" s="68"/>
      <x:c r="I535" s="75"/>
      <x:c r="J535" s="68"/>
      <x:c r="K535" s="74"/>
    </x:row>
    <x:row r="536" ht="20" customHeight="1">
      <x:c r="A536" s="39" t="str">
        <x:v>name</x:v>
      </x:c>
      <x:c r="B536" s="28" t="str">
        <x:v>/neɪm/</x:v>
      </x:c>
      <x:c r="C536" s="40" t="str">
        <x:v>给……取名；给……命名</x:v>
      </x:c>
      <x:c r="D536" s="68"/>
      <x:c r="E536" s="39" t="str">
        <x:v>too</x:v>
      </x:c>
      <x:c r="F536" s="28" t="str"/>
      <x:c r="G536" s="40" t="str">
        <x:v>much 太多（N 开头无相关，M 开头已列）</x:v>
      </x:c>
      <x:c r="H536" s="68"/>
      <x:c r="I536" s="75"/>
      <x:c r="J536" s="68"/>
      <x:c r="K536" s="74"/>
    </x:row>
    <x:row r="537" ht="20" customHeight="1">
      <x:c r="A537" s="37" t="str">
        <x:v>notice</x:v>
      </x:c>
      <x:c r="B537" s="21" t="str">
        <x:v>/ˈnəʊtɪs/</x:v>
      </x:c>
      <x:c r="C537" s="38" t="str">
        <x:v>注意到；意识到</x:v>
      </x:c>
      <x:c r="D537" s="68"/>
      <x:c r="E537" s="37" t="str">
        <x:v>neither</x:v>
      </x:c>
      <x:c r="F537" s="21" t="str">
        <x:v>/ˈnaɪðə/</x:v>
      </x:c>
      <x:c r="G537" s="38" t="str">
        <x:v>也不（补充）</x:v>
      </x:c>
      <x:c r="H537" s="68"/>
      <x:c r="I537" s="75"/>
      <x:c r="J537" s="68"/>
      <x:c r="K537" s="74"/>
    </x:row>
    <x:row r="538" ht="17" customHeight="1">
      <x:c r="A538" s="73" t="str">
        <x:v>形容词（14）</x:v>
      </x:c>
      <x:c r="B538" s="68"/>
      <x:c r="C538" s="74"/>
      <x:c r="D538" s="68"/>
      <x:c r="E538" s="73" t="str">
        <x:v>代词（2）</x:v>
      </x:c>
      <x:c r="F538" s="68"/>
      <x:c r="G538" s="74"/>
      <x:c r="H538" s="68"/>
      <x:c r="I538" s="75"/>
      <x:c r="J538" s="68"/>
      <x:c r="K538" s="74"/>
    </x:row>
    <x:row r="539" ht="20" customHeight="1">
      <x:c r="A539" s="41" t="str">
        <x:v>national</x:v>
      </x:c>
      <x:c r="B539" s="42" t="str">
        <x:v>/ˈnæʃnəl/</x:v>
      </x:c>
      <x:c r="C539" s="43" t="str">
        <x:v>国家的；全国的</x:v>
      </x:c>
      <x:c r="D539" s="68"/>
      <x:c r="E539" s="41" t="str">
        <x:v>none</x:v>
      </x:c>
      <x:c r="F539" s="42" t="str">
        <x:v>/nʌn/</x:v>
      </x:c>
      <x:c r="G539" s="43" t="str">
        <x:v>没有一个；毫无</x:v>
      </x:c>
      <x:c r="H539" s="68"/>
      <x:c r="I539" s="76"/>
      <x:c r="J539" s="77"/>
      <x:c r="K539" s="78"/>
    </x:row>
    <x:row r="540">
      <x:c r="A540" s="68"/>
      <x:c r="B540" s="68"/>
      <x:c r="C540" s="68"/>
      <x:c r="D540" s="68"/>
      <x:c r="E540" s="68"/>
      <x:c r="F540" s="68"/>
      <x:c r="G540" s="68"/>
      <x:c r="H540" s="68"/>
      <x:c r="I540" s="68"/>
      <x:c r="J540" s="68"/>
      <x:c r="K540" s="68"/>
    </x:row>
    <x:row r="541" ht="27" customHeight="1">
      <x:c r="A541" s="65" t="str">
        <x:v>O 开头单词</x:v>
      </x:c>
      <x:c r="B541" s="66"/>
      <x:c r="C541" s="67"/>
      <x:c r="D541" s="68"/>
      <x:c r="E541" s="69"/>
      <x:c r="F541" s="66"/>
      <x:c r="G541" s="67"/>
      <x:c r="H541" s="68"/>
      <x:c r="I541" s="69"/>
      <x:c r="J541" s="66"/>
      <x:c r="K541" s="67"/>
    </x:row>
    <x:row r="542" ht="19" customHeight="1">
      <x:c r="A542" s="70" t="str">
        <x:v>英文单词 / 短语</x:v>
      </x:c>
      <x:c r="B542" s="71" t="str">
        <x:v>音标</x:v>
      </x:c>
      <x:c r="C542" s="72" t="str">
        <x:v>中文解释</x:v>
      </x:c>
      <x:c r="D542" s="68"/>
      <x:c r="E542" s="70" t="str">
        <x:v>英文单词 / 短语</x:v>
      </x:c>
      <x:c r="F542" s="71" t="str">
        <x:v>音标</x:v>
      </x:c>
      <x:c r="G542" s="72" t="str">
        <x:v>中文解释</x:v>
      </x:c>
      <x:c r="H542" s="68"/>
      <x:c r="I542" s="70" t="str">
        <x:v>英文单词 / 短语</x:v>
      </x:c>
      <x:c r="J542" s="71" t="str">
        <x:v>音标</x:v>
      </x:c>
      <x:c r="K542" s="72" t="str">
        <x:v>中文解释</x:v>
      </x:c>
    </x:row>
    <x:row r="543" ht="20" customHeight="1">
      <x:c r="A543" s="73" t="str">
        <x:v>名词（12）</x:v>
      </x:c>
      <x:c r="B543" s="68"/>
      <x:c r="C543" s="74"/>
      <x:c r="D543" s="68"/>
      <x:c r="E543" s="39" t="str">
        <x:v>own</x:v>
      </x:c>
      <x:c r="F543" s="28" t="str">
        <x:v>/əʊn/</x:v>
      </x:c>
      <x:c r="G543" s="40" t="str">
        <x:v>自己的</x:v>
      </x:c>
      <x:c r="H543" s="68"/>
      <x:c r="I543" s="39" t="str">
        <x:v>how</x:v>
      </x:c>
      <x:c r="J543" s="28" t="str"/>
      <x:c r="K543" s="40" t="str">
        <x:v>old 多大；几岁</x:v>
      </x:c>
    </x:row>
    <x:row r="544" ht="20" customHeight="1">
      <x:c r="A544" s="37" t="str">
        <x:v>o'clock</x:v>
      </x:c>
      <x:c r="B544" s="21" t="str">
        <x:v>/əˈklɒk/</x:v>
      </x:c>
      <x:c r="C544" s="38" t="str">
        <x:v>……点钟</x:v>
      </x:c>
      <x:c r="D544" s="68"/>
      <x:c r="E544" s="73" t="str">
        <x:v>副词（8）</x:v>
      </x:c>
      <x:c r="F544" s="68"/>
      <x:c r="G544" s="74"/>
      <x:c r="H544" s="68"/>
      <x:c r="I544" s="37" t="str">
        <x:v>of</x:v>
      </x:c>
      <x:c r="J544" s="21" t="str"/>
      <x:c r="K544" s="38" t="str">
        <x:v>course 当然</x:v>
      </x:c>
    </x:row>
    <x:row r="545" ht="20" customHeight="1">
      <x:c r="A545" s="39" t="str">
        <x:v>ocean</x:v>
      </x:c>
      <x:c r="B545" s="28" t="str">
        <x:v>/ˈəʊʃn/</x:v>
      </x:c>
      <x:c r="C545" s="40" t="str">
        <x:v>大海；海洋</x:v>
      </x:c>
      <x:c r="D545" s="68"/>
      <x:c r="E545" s="39" t="str">
        <x:v>off</x:v>
      </x:c>
      <x:c r="F545" s="28" t="str">
        <x:v>/ɒf/</x:v>
      </x:c>
      <x:c r="G545" s="40" t="str">
        <x:v>离开；脱落</x:v>
      </x:c>
      <x:c r="H545" s="68"/>
      <x:c r="I545" s="39" t="str">
        <x:v>once</x:v>
      </x:c>
      <x:c r="J545" s="28" t="str"/>
      <x:c r="K545" s="40" t="str">
        <x:v>a week 一周一次</x:v>
      </x:c>
    </x:row>
    <x:row r="546" ht="20" customHeight="1">
      <x:c r="A546" s="37" t="str">
        <x:v>office</x:v>
      </x:c>
      <x:c r="B546" s="21" t="str">
        <x:v>/ˈɒfɪs/</x:v>
      </x:c>
      <x:c r="C546" s="38" t="str">
        <x:v>办公室</x:v>
      </x:c>
      <x:c r="D546" s="68"/>
      <x:c r="E546" s="37" t="str">
        <x:v>often</x:v>
      </x:c>
      <x:c r="F546" s="21" t="str">
        <x:v>/ˈɒfn/</x:v>
      </x:c>
      <x:c r="G546" s="38" t="str">
        <x:v>经常</x:v>
      </x:c>
      <x:c r="H546" s="68"/>
      <x:c r="I546" s="37" t="str">
        <x:v>one</x:v>
      </x:c>
      <x:c r="J546" s="21" t="str"/>
      <x:c r="K546" s="38" t="str">
        <x:v>day 总有一天</x:v>
      </x:c>
    </x:row>
    <x:row r="547" ht="20" customHeight="1">
      <x:c r="A547" s="39" t="str">
        <x:v>oil</x:v>
      </x:c>
      <x:c r="B547" s="28" t="str">
        <x:v>/ɔɪl/</x:v>
      </x:c>
      <x:c r="C547" s="40" t="str">
        <x:v>油；石油</x:v>
      </x:c>
      <x:c r="D547" s="68"/>
      <x:c r="E547" s="39" t="str">
        <x:v>on</x:v>
      </x:c>
      <x:c r="F547" s="28" t="str">
        <x:v>/ɒn/</x:v>
      </x:c>
      <x:c r="G547" s="40" t="str">
        <x:v>（放、穿、连接）上；向前；继续</x:v>
      </x:c>
      <x:c r="H547" s="68"/>
      <x:c r="I547" s="39" t="str">
        <x:v>one</x:v>
      </x:c>
      <x:c r="J547" s="28" t="str"/>
      <x:c r="K547" s="40" t="str">
        <x:v>of ……之一</x:v>
      </x:c>
    </x:row>
    <x:row r="548" ht="20" customHeight="1">
      <x:c r="A548" s="37" t="str">
        <x:v>Olympics</x:v>
      </x:c>
      <x:c r="B548" s="21" t="str">
        <x:v>/əˈlɪmpɪks/</x:v>
      </x:c>
      <x:c r="C548" s="38" t="str">
        <x:v>奥林匹克运动会</x:v>
      </x:c>
      <x:c r="D548" s="68"/>
      <x:c r="E548" s="37" t="str">
        <x:v>once</x:v>
      </x:c>
      <x:c r="F548" s="21" t="str">
        <x:v>/wʌns/</x:v>
      </x:c>
      <x:c r="G548" s="38" t="str">
        <x:v>一次；曾经</x:v>
      </x:c>
      <x:c r="H548" s="68"/>
      <x:c r="I548" s="37" t="str">
        <x:v>on</x:v>
      </x:c>
      <x:c r="J548" s="21" t="str"/>
      <x:c r="K548" s="38" t="str">
        <x:v>foot 步行</x:v>
      </x:c>
    </x:row>
    <x:row r="549" ht="20" customHeight="1">
      <x:c r="A549" s="39" t="str">
        <x:v>orange</x:v>
      </x:c>
      <x:c r="B549" s="28" t="str">
        <x:v>/ˈɒrɪndʒ/</x:v>
      </x:c>
      <x:c r="C549" s="40" t="str">
        <x:v>橙子；柑橘</x:v>
      </x:c>
      <x:c r="D549" s="68"/>
      <x:c r="E549" s="39" t="str">
        <x:v>one</x:v>
      </x:c>
      <x:c r="F549" s="28" t="str">
        <x:v>/wʌn/</x:v>
      </x:c>
      <x:c r="G549" s="40" t="str">
        <x:v>一次（兼作数词/代词）</x:v>
      </x:c>
      <x:c r="H549" s="68"/>
      <x:c r="I549" s="39" t="str">
        <x:v>on</x:v>
      </x:c>
      <x:c r="J549" s="28" t="str"/>
      <x:c r="K549" s="40" t="str">
        <x:v>the left 在左边</x:v>
      </x:c>
    </x:row>
    <x:row r="550" ht="20" customHeight="1">
      <x:c r="A550" s="37" t="str">
        <x:v>order</x:v>
      </x:c>
      <x:c r="B550" s="21" t="str">
        <x:v>/ˈɔːdə/</x:v>
      </x:c>
      <x:c r="C550" s="38" t="str">
        <x:v>顺序；命令</x:v>
      </x:c>
      <x:c r="D550" s="68"/>
      <x:c r="E550" s="37" t="str">
        <x:v>only</x:v>
      </x:c>
      <x:c r="F550" s="21" t="str">
        <x:v>/ˈəʊnli/</x:v>
      </x:c>
      <x:c r="G550" s="38" t="str">
        <x:v>仅仅；只</x:v>
      </x:c>
      <x:c r="H550" s="68"/>
      <x:c r="I550" s="37" t="str">
        <x:v>on</x:v>
      </x:c>
      <x:c r="J550" s="21" t="str"/>
      <x:c r="K550" s="38" t="str">
        <x:v>the right 在右边</x:v>
      </x:c>
    </x:row>
    <x:row r="551" ht="20" customHeight="1">
      <x:c r="A551" s="39" t="str">
        <x:v>other</x:v>
      </x:c>
      <x:c r="B551" s="28" t="str">
        <x:v>/ˈʌðə/</x:v>
      </x:c>
      <x:c r="C551" s="40" t="str">
        <x:v>其他的人或物（兼作形容词）</x:v>
      </x:c>
      <x:c r="D551" s="68"/>
      <x:c r="E551" s="39" t="str">
        <x:v>out</x:v>
      </x:c>
      <x:c r="F551" s="28" t="str">
        <x:v>/aʊt/</x:v>
      </x:c>
      <x:c r="G551" s="40" t="str">
        <x:v>在外；向外</x:v>
      </x:c>
      <x:c r="H551" s="68"/>
      <x:c r="I551" s="39" t="str">
        <x:v>over</x:v>
      </x:c>
      <x:c r="J551" s="28" t="str"/>
      <x:c r="K551" s="40" t="str">
        <x:v>there 在那边</x:v>
      </x:c>
    </x:row>
    <x:row r="552" ht="20" customHeight="1">
      <x:c r="A552" s="37" t="str">
        <x:v>our</x:v>
      </x:c>
      <x:c r="B552" s="21" t="str">
        <x:v>/ˈaʊə/</x:v>
      </x:c>
      <x:c r="C552" s="38" t="str">
        <x:v>我们的（形容词性物主代词）</x:v>
      </x:c>
      <x:c r="D552" s="68"/>
      <x:c r="E552" s="37" t="str">
        <x:v>over</x:v>
      </x:c>
      <x:c r="F552" s="21" t="str">
        <x:v>/ˈəʊvə/</x:v>
      </x:c>
      <x:c r="G552" s="38" t="str">
        <x:v>结束；越过；从头到尾</x:v>
      </x:c>
      <x:c r="H552" s="68"/>
      <x:c r="I552" s="37" t="str">
        <x:v>put</x:v>
      </x:c>
      <x:c r="J552" s="21" t="str"/>
      <x:c r="K552" s="38" t="str">
        <x:v>on 穿上；上演（注：P开头短语，此处补充）</x:v>
      </x:c>
    </x:row>
    <x:row r="553" ht="17" customHeight="1">
      <x:c r="A553" s="39" t="str">
        <x:v>ours</x:v>
      </x:c>
      <x:c r="B553" s="28" t="str">
        <x:v>/ˈaʊəz/</x:v>
      </x:c>
      <x:c r="C553" s="40" t="str">
        <x:v>我们的（名词性物主代词）</x:v>
      </x:c>
      <x:c r="D553" s="68"/>
      <x:c r="E553" s="73" t="str">
        <x:v>介词（4）</x:v>
      </x:c>
      <x:c r="F553" s="68"/>
      <x:c r="G553" s="74"/>
      <x:c r="H553" s="68"/>
      <x:c r="I553" s="75"/>
      <x:c r="J553" s="68"/>
      <x:c r="K553" s="74"/>
    </x:row>
    <x:row r="554" ht="20" customHeight="1">
      <x:c r="A554" s="37" t="str">
        <x:v>ourselves</x:v>
      </x:c>
      <x:c r="B554" s="21" t="str">
        <x:v>/ˌaʊəˈselvz/</x:v>
      </x:c>
      <x:c r="C554" s="38" t="str">
        <x:v>我们自己</x:v>
      </x:c>
      <x:c r="D554" s="68"/>
      <x:c r="E554" s="37" t="str">
        <x:v>off</x:v>
      </x:c>
      <x:c r="F554" s="21" t="str">
        <x:v>/ɒf/</x:v>
      </x:c>
      <x:c r="G554" s="38" t="str">
        <x:v>离开；脱离</x:v>
      </x:c>
      <x:c r="H554" s="68"/>
      <x:c r="I554" s="75"/>
      <x:c r="J554" s="68"/>
      <x:c r="K554" s="74"/>
    </x:row>
    <x:row r="555" ht="20" customHeight="1">
      <x:c r="A555" s="39" t="str">
        <x:v>over</x:v>
      </x:c>
      <x:c r="B555" s="28" t="str">
        <x:v>/ˈəʊvə/</x:v>
      </x:c>
      <x:c r="C555" s="40" t="str">
        <x:v>上方；结束（兼作介词/副词）</x:v>
      </x:c>
      <x:c r="D555" s="68"/>
      <x:c r="E555" s="39" t="str">
        <x:v>on</x:v>
      </x:c>
      <x:c r="F555" s="28" t="str">
        <x:v>/ɒn/</x:v>
      </x:c>
      <x:c r="G555" s="40" t="str">
        <x:v>在……上；关于</x:v>
      </x:c>
      <x:c r="H555" s="68"/>
      <x:c r="I555" s="75"/>
      <x:c r="J555" s="68"/>
      <x:c r="K555" s="74"/>
    </x:row>
    <x:row r="556" ht="20" customHeight="1">
      <x:c r="A556" s="73" t="str">
        <x:v>动词（4）</x:v>
      </x:c>
      <x:c r="B556" s="68"/>
      <x:c r="C556" s="74"/>
      <x:c r="D556" s="68"/>
      <x:c r="E556" s="37" t="str">
        <x:v>over</x:v>
      </x:c>
      <x:c r="F556" s="21" t="str">
        <x:v>/ˈəʊvə/</x:v>
      </x:c>
      <x:c r="G556" s="38" t="str">
        <x:v>在……上方；越过</x:v>
      </x:c>
      <x:c r="H556" s="68"/>
      <x:c r="I556" s="75"/>
      <x:c r="J556" s="68"/>
      <x:c r="K556" s="74"/>
    </x:row>
    <x:row r="557" ht="20" customHeight="1">
      <x:c r="A557" s="39" t="str">
        <x:v>open</x:v>
      </x:c>
      <x:c r="B557" s="28" t="str">
        <x:v>/ˈəʊpən/</x:v>
      </x:c>
      <x:c r="C557" s="40" t="str">
        <x:v>开；打开</x:v>
      </x:c>
      <x:c r="D557" s="68"/>
      <x:c r="E557" s="39" t="str">
        <x:v>opposite</x:v>
      </x:c>
      <x:c r="F557" s="28" t="str">
        <x:v>/ˈɒpəzɪt/</x:v>
      </x:c>
      <x:c r="G557" s="40" t="str">
        <x:v>在……对面</x:v>
      </x:c>
      <x:c r="H557" s="68"/>
      <x:c r="I557" s="75"/>
      <x:c r="J557" s="68"/>
      <x:c r="K557" s="74"/>
    </x:row>
    <x:row r="558" ht="17" customHeight="1">
      <x:c r="A558" s="37" t="str">
        <x:v>order</x:v>
      </x:c>
      <x:c r="B558" s="21" t="str">
        <x:v>/ˈɔːdə/</x:v>
      </x:c>
      <x:c r="C558" s="38" t="str">
        <x:v>命令；订购</x:v>
      </x:c>
      <x:c r="D558" s="68"/>
      <x:c r="E558" s="73" t="str">
        <x:v>代词（5）</x:v>
      </x:c>
      <x:c r="F558" s="68"/>
      <x:c r="G558" s="74"/>
      <x:c r="H558" s="68"/>
      <x:c r="I558" s="75"/>
      <x:c r="J558" s="68"/>
      <x:c r="K558" s="74"/>
    </x:row>
    <x:row r="559" ht="20" customHeight="1">
      <x:c r="A559" s="39" t="str">
        <x:v>organize</x:v>
      </x:c>
      <x:c r="B559" s="28" t="str">
        <x:v>/ˈɔːɡənaɪz/</x:v>
      </x:c>
      <x:c r="C559" s="40" t="str">
        <x:v>组织；筹备</x:v>
      </x:c>
      <x:c r="D559" s="68"/>
      <x:c r="E559" s="39" t="str">
        <x:v>one</x:v>
      </x:c>
      <x:c r="F559" s="28" t="str">
        <x:v>/wʌn/</x:v>
      </x:c>
      <x:c r="G559" s="40" t="str">
        <x:v>一个（人/物）</x:v>
      </x:c>
      <x:c r="H559" s="68"/>
      <x:c r="I559" s="75"/>
      <x:c r="J559" s="68"/>
      <x:c r="K559" s="74"/>
    </x:row>
    <x:row r="560" ht="20" customHeight="1">
      <x:c r="A560" s="37" t="str">
        <x:v>own</x:v>
      </x:c>
      <x:c r="B560" s="21" t="str">
        <x:v>/əʊn/</x:v>
      </x:c>
      <x:c r="C560" s="38" t="str">
        <x:v>拥有</x:v>
      </x:c>
      <x:c r="D560" s="68"/>
      <x:c r="E560" s="37" t="str">
        <x:v>other</x:v>
      </x:c>
      <x:c r="F560" s="21" t="str">
        <x:v>/ˈʌðə/</x:v>
      </x:c>
      <x:c r="G560" s="38" t="str">
        <x:v>另一个人（或物）</x:v>
      </x:c>
      <x:c r="H560" s="68"/>
      <x:c r="I560" s="75"/>
      <x:c r="J560" s="68"/>
      <x:c r="K560" s="74"/>
    </x:row>
    <x:row r="561" ht="20" customHeight="1">
      <x:c r="A561" s="73" t="str">
        <x:v>形容词（6）</x:v>
      </x:c>
      <x:c r="B561" s="68"/>
      <x:c r="C561" s="74"/>
      <x:c r="D561" s="68"/>
      <x:c r="E561" s="39" t="str">
        <x:v>our</x:v>
      </x:c>
      <x:c r="F561" s="28" t="str">
        <x:v>/ˈaʊə/</x:v>
      </x:c>
      <x:c r="G561" s="40" t="str">
        <x:v>我们的</x:v>
      </x:c>
      <x:c r="H561" s="68"/>
      <x:c r="I561" s="75"/>
      <x:c r="J561" s="68"/>
      <x:c r="K561" s="74"/>
    </x:row>
    <x:row r="562" ht="20" customHeight="1">
      <x:c r="A562" s="37" t="str">
        <x:v>old</x:v>
      </x:c>
      <x:c r="B562" s="21" t="str">
        <x:v>/əʊld/</x:v>
      </x:c>
      <x:c r="C562" s="38" t="str">
        <x:v>……岁的；年老的；旧的</x:v>
      </x:c>
      <x:c r="D562" s="68"/>
      <x:c r="E562" s="37" t="str">
        <x:v>ours</x:v>
      </x:c>
      <x:c r="F562" s="21" t="str">
        <x:v>/ˈaʊəz/</x:v>
      </x:c>
      <x:c r="G562" s="38" t="str">
        <x:v>我们的</x:v>
      </x:c>
      <x:c r="H562" s="68"/>
      <x:c r="I562" s="75"/>
      <x:c r="J562" s="68"/>
      <x:c r="K562" s="74"/>
    </x:row>
    <x:row r="563" ht="20" customHeight="1">
      <x:c r="A563" s="39" t="str">
        <x:v>open</x:v>
      </x:c>
      <x:c r="B563" s="28" t="str">
        <x:v>/ˈəʊpən/</x:v>
      </x:c>
      <x:c r="C563" s="40" t="str">
        <x:v>开着的；敞开的</x:v>
      </x:c>
      <x:c r="D563" s="68"/>
      <x:c r="E563" s="39" t="str">
        <x:v>ourselves</x:v>
      </x:c>
      <x:c r="F563" s="28" t="str">
        <x:v>/ˌaʊəˈselvz/</x:v>
      </x:c>
      <x:c r="G563" s="40" t="str">
        <x:v>我们自己</x:v>
      </x:c>
      <x:c r="H563" s="68"/>
      <x:c r="I563" s="75"/>
      <x:c r="J563" s="68"/>
      <x:c r="K563" s="74"/>
    </x:row>
    <x:row r="564" ht="17" customHeight="1">
      <x:c r="A564" s="37" t="str">
        <x:v>orange</x:v>
      </x:c>
      <x:c r="B564" s="21" t="str">
        <x:v>/ˈɒrɪndʒ/</x:v>
      </x:c>
      <x:c r="C564" s="38" t="str">
        <x:v>橘黄色的；橙色的</x:v>
      </x:c>
      <x:c r="D564" s="68"/>
      <x:c r="E564" s="73" t="str">
        <x:v>数词（1）</x:v>
      </x:c>
      <x:c r="F564" s="68"/>
      <x:c r="G564" s="74"/>
      <x:c r="H564" s="68"/>
      <x:c r="I564" s="75"/>
      <x:c r="J564" s="68"/>
      <x:c r="K564" s="74"/>
    </x:row>
    <x:row r="565" ht="20" customHeight="1">
      <x:c r="A565" s="39" t="str">
        <x:v>other</x:v>
      </x:c>
      <x:c r="B565" s="28" t="str">
        <x:v>/ˈʌðə/</x:v>
      </x:c>
      <x:c r="C565" s="40" t="str">
        <x:v>别的；其他的</x:v>
      </x:c>
      <x:c r="D565" s="68"/>
      <x:c r="E565" s="39" t="str">
        <x:v>one</x:v>
      </x:c>
      <x:c r="F565" s="28" t="str">
        <x:v>/wʌn/</x:v>
      </x:c>
      <x:c r="G565" s="40" t="str">
        <x:v>一</x:v>
      </x:c>
      <x:c r="H565" s="68"/>
      <x:c r="I565" s="75"/>
      <x:c r="J565" s="68"/>
      <x:c r="K565" s="74"/>
    </x:row>
    <x:row r="566" ht="17" customHeight="1">
      <x:c r="A566" s="41" t="str">
        <x:v>our</x:v>
      </x:c>
      <x:c r="B566" s="42" t="str">
        <x:v>/ˈaʊə/</x:v>
      </x:c>
      <x:c r="C566" s="43" t="str">
        <x:v>我们的（形容词性物主代词）</x:v>
      </x:c>
      <x:c r="D566" s="68"/>
      <x:c r="E566" s="79" t="str">
        <x:v>短语（10）</x:v>
      </x:c>
      <x:c r="F566" s="77"/>
      <x:c r="G566" s="78"/>
      <x:c r="H566" s="68"/>
      <x:c r="I566" s="76"/>
      <x:c r="J566" s="77"/>
      <x:c r="K566" s="78"/>
    </x:row>
    <x:row r="567">
      <x:c r="A567" s="68"/>
      <x:c r="B567" s="68"/>
      <x:c r="C567" s="68"/>
      <x:c r="D567" s="68"/>
      <x:c r="E567" s="68"/>
      <x:c r="F567" s="68"/>
      <x:c r="G567" s="68"/>
      <x:c r="H567" s="68"/>
      <x:c r="I567" s="68"/>
      <x:c r="J567" s="68"/>
      <x:c r="K567" s="68"/>
    </x:row>
    <x:row r="568" ht="27" customHeight="1">
      <x:c r="A568" s="65" t="str">
        <x:v>P 开头单词（1/3）</x:v>
      </x:c>
      <x:c r="B568" s="66"/>
      <x:c r="C568" s="67"/>
      <x:c r="D568" s="68"/>
      <x:c r="E568" s="69"/>
      <x:c r="F568" s="66"/>
      <x:c r="G568" s="67"/>
      <x:c r="H568" s="68"/>
      <x:c r="I568" s="69"/>
      <x:c r="J568" s="66"/>
      <x:c r="K568" s="67"/>
    </x:row>
    <x:row r="569" ht="19" customHeight="1">
      <x:c r="A569" s="70" t="str">
        <x:v>英文单词 / 短语</x:v>
      </x:c>
      <x:c r="B569" s="71" t="str">
        <x:v>音标</x:v>
      </x:c>
      <x:c r="C569" s="72" t="str">
        <x:v>中文解释</x:v>
      </x:c>
      <x:c r="D569" s="68"/>
      <x:c r="E569" s="70" t="str">
        <x:v>英文单词 / 短语</x:v>
      </x:c>
      <x:c r="F569" s="71" t="str">
        <x:v>音标</x:v>
      </x:c>
      <x:c r="G569" s="72" t="str">
        <x:v>中文解释</x:v>
      </x:c>
      <x:c r="H569" s="68"/>
      <x:c r="I569" s="70" t="str">
        <x:v>英文单词 / 短语</x:v>
      </x:c>
      <x:c r="J569" s="71" t="str">
        <x:v>音标</x:v>
      </x:c>
      <x:c r="K569" s="72" t="str">
        <x:v>中文解释</x:v>
      </x:c>
    </x:row>
    <x:row r="570" ht="20" customHeight="1">
      <x:c r="A570" s="73" t="str">
        <x:v>名词（100）</x:v>
      </x:c>
      <x:c r="B570" s="68"/>
      <x:c r="C570" s="74"/>
      <x:c r="D570" s="68"/>
      <x:c r="E570" s="39" t="str">
        <x:v>pepper</x:v>
      </x:c>
      <x:c r="F570" s="28" t="str">
        <x:v>/ˈpepə/</x:v>
      </x:c>
      <x:c r="G570" s="40" t="str">
        <x:v>胡椒粉</x:v>
      </x:c>
      <x:c r="H570" s="68"/>
      <x:c r="I570" s="39" t="str">
        <x:v>player</x:v>
      </x:c>
      <x:c r="J570" s="28" t="str">
        <x:v>/ˈpleɪə/</x:v>
      </x:c>
      <x:c r="K570" s="40" t="str">
        <x:v>运动员；选手</x:v>
      </x:c>
    </x:row>
    <x:row r="571" ht="20" customHeight="1">
      <x:c r="A571" s="37" t="str">
        <x:v>Pacific</x:v>
      </x:c>
      <x:c r="B571" s="21" t="str">
        <x:v>/pəˈsɪfɪk/</x:v>
      </x:c>
      <x:c r="C571" s="38" t="str">
        <x:v>太平洋</x:v>
      </x:c>
      <x:c r="D571" s="68"/>
      <x:c r="E571" s="37" t="str">
        <x:v>per</x:v>
      </x:c>
      <x:c r="F571" s="21" t="str">
        <x:v>/pɜː/</x:v>
      </x:c>
      <x:c r="G571" s="38" t="str">
        <x:v>每；每一</x:v>
      </x:c>
      <x:c r="H571" s="68"/>
      <x:c r="I571" s="37" t="str">
        <x:v>playground</x:v>
      </x:c>
      <x:c r="J571" s="21" t="str">
        <x:v>/ˈpleɪɡraʊnd/</x:v>
      </x:c>
      <x:c r="K571" s="38" t="str">
        <x:v>操场</x:v>
      </x:c>
    </x:row>
    <x:row r="572" ht="20" customHeight="1">
      <x:c r="A572" s="39" t="str">
        <x:v>page</x:v>
      </x:c>
      <x:c r="B572" s="28" t="str">
        <x:v>/peɪdʒ/</x:v>
      </x:c>
      <x:c r="C572" s="40" t="str">
        <x:v>页；页码</x:v>
      </x:c>
      <x:c r="D572" s="68"/>
      <x:c r="E572" s="39" t="str">
        <x:v>perfect</x:v>
      </x:c>
      <x:c r="F572" s="28" t="str">
        <x:v>/ˈpɜːfɪkt/</x:v>
      </x:c>
      <x:c r="G572" s="40" t="str">
        <x:v>完美的人/物（兼作形容词）</x:v>
      </x:c>
      <x:c r="H572" s="68"/>
      <x:c r="I572" s="39" t="str">
        <x:v>pleasant</x:v>
      </x:c>
      <x:c r="J572" s="28" t="str">
        <x:v>/ˈpleznt/</x:v>
      </x:c>
      <x:c r="K572" s="40" t="str">
        <x:v>令人愉快的事物（兼作形容词）</x:v>
      </x:c>
    </x:row>
    <x:row r="573" ht="20" customHeight="1">
      <x:c r="A573" s="37" t="str">
        <x:v>pain</x:v>
      </x:c>
      <x:c r="B573" s="21" t="str">
        <x:v>/peɪn/</x:v>
      </x:c>
      <x:c r="C573" s="38" t="str">
        <x:v>痛；疼痛</x:v>
      </x:c>
      <x:c r="D573" s="68"/>
      <x:c r="E573" s="37" t="str">
        <x:v>performance</x:v>
      </x:c>
      <x:c r="F573" s="21" t="str">
        <x:v>/pəˈfɔːməns/</x:v>
      </x:c>
      <x:c r="G573" s="38" t="str">
        <x:v>表演；演出</x:v>
      </x:c>
      <x:c r="H573" s="68"/>
      <x:c r="I573" s="37" t="str">
        <x:v>pleasure</x:v>
      </x:c>
      <x:c r="J573" s="21" t="str">
        <x:v>/ˈpleʒə/</x:v>
      </x:c>
      <x:c r="K573" s="38" t="str">
        <x:v>愉快；快乐</x:v>
      </x:c>
    </x:row>
    <x:row r="574" ht="20" customHeight="1">
      <x:c r="A574" s="39" t="str">
        <x:v>paint</x:v>
      </x:c>
      <x:c r="B574" s="28" t="str">
        <x:v>/peɪnt/</x:v>
      </x:c>
      <x:c r="C574" s="40" t="str">
        <x:v>油漆；颜料</x:v>
      </x:c>
      <x:c r="D574" s="68"/>
      <x:c r="E574" s="39" t="str">
        <x:v>period</x:v>
      </x:c>
      <x:c r="F574" s="28" t="str">
        <x:v>/ˈpɪəriəd/</x:v>
      </x:c>
      <x:c r="G574" s="40" t="str">
        <x:v>时期；阶段</x:v>
      </x:c>
      <x:c r="H574" s="68"/>
      <x:c r="I574" s="39" t="str">
        <x:v>pocket</x:v>
      </x:c>
      <x:c r="J574" s="28" t="str">
        <x:v>/ˈpɒkɪt/</x:v>
      </x:c>
      <x:c r="K574" s="40" t="str">
        <x:v>衣袋；口袋</x:v>
      </x:c>
    </x:row>
    <x:row r="575" ht="20" customHeight="1">
      <x:c r="A575" s="37" t="str">
        <x:v>palace</x:v>
      </x:c>
      <x:c r="B575" s="21" t="str">
        <x:v>/ˈpæləs/</x:v>
      </x:c>
      <x:c r="C575" s="38" t="str">
        <x:v>宫殿</x:v>
      </x:c>
      <x:c r="D575" s="68"/>
      <x:c r="E575" s="37" t="str">
        <x:v>person</x:v>
      </x:c>
      <x:c r="F575" s="21" t="str">
        <x:v>/ˈpɜːsn/</x:v>
      </x:c>
      <x:c r="G575" s="38" t="str">
        <x:v>人</x:v>
      </x:c>
      <x:c r="H575" s="68"/>
      <x:c r="I575" s="37" t="str">
        <x:v>poem</x:v>
      </x:c>
      <x:c r="J575" s="21" t="str">
        <x:v>/ˈpəʊɪm/</x:v>
      </x:c>
      <x:c r="K575" s="38" t="str">
        <x:v>诗；诗歌</x:v>
      </x:c>
    </x:row>
    <x:row r="576" ht="20" customHeight="1">
      <x:c r="A576" s="39" t="str">
        <x:v>panda</x:v>
      </x:c>
      <x:c r="B576" s="28" t="str">
        <x:v>/ˈpændə/</x:v>
      </x:c>
      <x:c r="C576" s="40" t="str">
        <x:v>熊猫</x:v>
      </x:c>
      <x:c r="D576" s="68"/>
      <x:c r="E576" s="39" t="str">
        <x:v>pet</x:v>
      </x:c>
      <x:c r="F576" s="28" t="str">
        <x:v>/pet/</x:v>
      </x:c>
      <x:c r="G576" s="40" t="str">
        <x:v>宠物；宠儿</x:v>
      </x:c>
      <x:c r="H576" s="68"/>
      <x:c r="I576" s="39" t="str">
        <x:v>point</x:v>
      </x:c>
      <x:c r="J576" s="28" t="str">
        <x:v>/pɔɪnt/</x:v>
      </x:c>
      <x:c r="K576" s="40" t="str">
        <x:v>点；分</x:v>
      </x:c>
    </x:row>
    <x:row r="577" ht="20" customHeight="1">
      <x:c r="A577" s="37" t="str">
        <x:v>paper</x:v>
      </x:c>
      <x:c r="B577" s="21" t="str">
        <x:v>/ˈpeɪpə/</x:v>
      </x:c>
      <x:c r="C577" s="38" t="str">
        <x:v>纸；纸张</x:v>
      </x:c>
      <x:c r="D577" s="68"/>
      <x:c r="E577" s="37" t="str">
        <x:v>phone</x:v>
      </x:c>
      <x:c r="F577" s="21" t="str">
        <x:v>/fəʊn/</x:v>
      </x:c>
      <x:c r="G577" s="38" t="str">
        <x:v>电话；电话机</x:v>
      </x:c>
      <x:c r="H577" s="68"/>
      <x:c r="I577" s="37" t="str">
        <x:v>police</x:v>
      </x:c>
      <x:c r="J577" s="21" t="str">
        <x:v>/pəˈliːs/</x:v>
      </x:c>
      <x:c r="K577" s="38" t="str">
        <x:v>警察部门；警方</x:v>
      </x:c>
    </x:row>
    <x:row r="578" ht="20" customHeight="1">
      <x:c r="A578" s="39" t="str">
        <x:v>parent</x:v>
      </x:c>
      <x:c r="B578" s="28" t="str">
        <x:v>/ˈpeərənt/</x:v>
      </x:c>
      <x:c r="C578" s="40" t="str">
        <x:v>母亲；父亲</x:v>
      </x:c>
      <x:c r="D578" s="68"/>
      <x:c r="E578" s="39" t="str">
        <x:v>photo</x:v>
      </x:c>
      <x:c r="F578" s="28" t="str">
        <x:v>/ˈfəʊtəʊ/</x:v>
      </x:c>
      <x:c r="G578" s="40" t="str">
        <x:v>照片；相片</x:v>
      </x:c>
      <x:c r="H578" s="68"/>
      <x:c r="I578" s="39" t="str">
        <x:v>policeman</x:v>
      </x:c>
      <x:c r="J578" s="28" t="str">
        <x:v>/pəˈliːsmən/</x:v>
      </x:c>
      <x:c r="K578" s="40" t="str">
        <x:v>男警察</x:v>
      </x:c>
    </x:row>
    <x:row r="579" ht="20" customHeight="1">
      <x:c r="A579" s="37" t="str">
        <x:v>park</x:v>
      </x:c>
      <x:c r="B579" s="21" t="str">
        <x:v>/pɑːk/</x:v>
      </x:c>
      <x:c r="C579" s="38" t="str">
        <x:v>公园</x:v>
      </x:c>
      <x:c r="D579" s="68"/>
      <x:c r="E579" s="37" t="str">
        <x:v>piano</x:v>
      </x:c>
      <x:c r="F579" s="21" t="str">
        <x:v>/piˈænəʊ/</x:v>
      </x:c>
      <x:c r="G579" s="38" t="str">
        <x:v>钢琴</x:v>
      </x:c>
      <x:c r="H579" s="68"/>
      <x:c r="I579" s="37" t="str">
        <x:v>polite</x:v>
      </x:c>
      <x:c r="J579" s="21" t="str">
        <x:v>/pəˈlaɪt/</x:v>
      </x:c>
      <x:c r="K579" s="38" t="str">
        <x:v>有礼貌的人（兼作形容词）</x:v>
      </x:c>
    </x:row>
    <x:row r="580" ht="20" customHeight="1">
      <x:c r="A580" s="39" t="str">
        <x:v>part</x:v>
      </x:c>
      <x:c r="B580" s="28" t="str">
        <x:v>/pɑːt/</x:v>
      </x:c>
      <x:c r="C580" s="40" t="str">
        <x:v>部分；地区；地方</x:v>
      </x:c>
      <x:c r="D580" s="68"/>
      <x:c r="E580" s="39" t="str">
        <x:v>picnic</x:v>
      </x:c>
      <x:c r="F580" s="28" t="str">
        <x:v>/ˈpɪknɪk/</x:v>
      </x:c>
      <x:c r="G580" s="40" t="str">
        <x:v>野餐</x:v>
      </x:c>
      <x:c r="H580" s="68"/>
      <x:c r="I580" s="39" t="str">
        <x:v>pool</x:v>
      </x:c>
      <x:c r="J580" s="28" t="str">
        <x:v>/puːl/</x:v>
      </x:c>
      <x:c r="K580" s="40" t="str">
        <x:v>水池；水塘</x:v>
      </x:c>
    </x:row>
    <x:row r="581" ht="20" customHeight="1">
      <x:c r="A581" s="37" t="str">
        <x:v>party</x:v>
      </x:c>
      <x:c r="B581" s="21" t="str">
        <x:v>/ˈpɑːti/</x:v>
      </x:c>
      <x:c r="C581" s="38" t="str">
        <x:v>晚会；聚会</x:v>
      </x:c>
      <x:c r="D581" s="68"/>
      <x:c r="E581" s="37" t="str">
        <x:v>picture</x:v>
      </x:c>
      <x:c r="F581" s="21" t="str">
        <x:v>/ˈpɪktʃə/</x:v>
      </x:c>
      <x:c r="G581" s="38" t="str">
        <x:v>图片；照片</x:v>
      </x:c>
      <x:c r="H581" s="68"/>
      <x:c r="I581" s="37" t="str">
        <x:v>poor</x:v>
      </x:c>
      <x:c r="J581" s="21" t="str">
        <x:v>/pʊə/</x:v>
      </x:c>
      <x:c r="K581" s="38" t="str">
        <x:v>穷人（兼作形容词）</x:v>
      </x:c>
    </x:row>
    <x:row r="582" ht="20" customHeight="1">
      <x:c r="A582" s="39" t="str">
        <x:v>pass</x:v>
      </x:c>
      <x:c r="B582" s="28" t="str">
        <x:v>/pɑːs/</x:v>
      </x:c>
      <x:c r="C582" s="40" t="str">
        <x:v>通行证；及格</x:v>
      </x:c>
      <x:c r="D582" s="68"/>
      <x:c r="E582" s="39" t="str">
        <x:v>piece</x:v>
      </x:c>
      <x:c r="F582" s="28" t="str">
        <x:v>/piːs/</x:v>
      </x:c>
      <x:c r="G582" s="40" t="str">
        <x:v>片；块；件；个；张</x:v>
      </x:c>
      <x:c r="H582" s="68"/>
      <x:c r="I582" s="39" t="str">
        <x:v>pork</x:v>
      </x:c>
      <x:c r="J582" s="28" t="str">
        <x:v>/pɔːk/</x:v>
      </x:c>
      <x:c r="K582" s="40" t="str">
        <x:v>猪肉</x:v>
      </x:c>
    </x:row>
    <x:row r="583" ht="20" customHeight="1">
      <x:c r="A583" s="37" t="str">
        <x:v>passenger</x:v>
      </x:c>
      <x:c r="B583" s="21" t="str">
        <x:v>/ˈpæsɪndʒə/</x:v>
      </x:c>
      <x:c r="C583" s="38" t="str">
        <x:v>乘客；旅客</x:v>
      </x:c>
      <x:c r="D583" s="68"/>
      <x:c r="E583" s="37" t="str">
        <x:v>pig</x:v>
      </x:c>
      <x:c r="F583" s="21" t="str">
        <x:v>/pɪɡ/</x:v>
      </x:c>
      <x:c r="G583" s="38" t="str">
        <x:v>猪</x:v>
      </x:c>
      <x:c r="H583" s="68"/>
      <x:c r="I583" s="37" t="str">
        <x:v>possible</x:v>
      </x:c>
      <x:c r="J583" s="21" t="str">
        <x:v>/ˈpɒsəbl/</x:v>
      </x:c>
      <x:c r="K583" s="38" t="str">
        <x:v>可能的人/物（兼作形容词）</x:v>
      </x:c>
    </x:row>
    <x:row r="584" ht="20" customHeight="1">
      <x:c r="A584" s="39" t="str">
        <x:v>passport</x:v>
      </x:c>
      <x:c r="B584" s="28" t="str">
        <x:v>/ˈpɑːspɔːt/</x:v>
      </x:c>
      <x:c r="C584" s="40" t="str">
        <x:v>护照</x:v>
      </x:c>
      <x:c r="D584" s="68"/>
      <x:c r="E584" s="39" t="str">
        <x:v>pilot</x:v>
      </x:c>
      <x:c r="F584" s="28" t="str">
        <x:v>/ˈpaɪlət/</x:v>
      </x:c>
      <x:c r="G584" s="40" t="str">
        <x:v>飞行员</x:v>
      </x:c>
      <x:c r="H584" s="68"/>
      <x:c r="I584" s="39" t="str">
        <x:v>post</x:v>
      </x:c>
      <x:c r="J584" s="28" t="str">
        <x:v>/pəʊst/</x:v>
      </x:c>
      <x:c r="K584" s="40" t="str">
        <x:v>邮政；邮件；柱；杆</x:v>
      </x:c>
    </x:row>
    <x:row r="585" ht="20" customHeight="1">
      <x:c r="A585" s="37" t="str">
        <x:v>past</x:v>
      </x:c>
      <x:c r="B585" s="21" t="str">
        <x:v>/pɑːst/</x:v>
      </x:c>
      <x:c r="C585" s="38" t="str">
        <x:v>过去；昔日</x:v>
      </x:c>
      <x:c r="D585" s="68"/>
      <x:c r="E585" s="37" t="str">
        <x:v>ping-pong</x:v>
      </x:c>
      <x:c r="F585" s="21" t="str">
        <x:v>/ˈpɪŋ pɒŋ/</x:v>
      </x:c>
      <x:c r="G585" s="38" t="str">
        <x:v>乒乓球</x:v>
      </x:c>
      <x:c r="H585" s="68"/>
      <x:c r="I585" s="37" t="str">
        <x:v>postcard</x:v>
      </x:c>
      <x:c r="J585" s="21" t="str">
        <x:v>/ˈpəʊstkɑːd/</x:v>
      </x:c>
      <x:c r="K585" s="38" t="str">
        <x:v>明信片</x:v>
      </x:c>
    </x:row>
    <x:row r="586" ht="20" customHeight="1">
      <x:c r="A586" s="39" t="str">
        <x:v>patient</x:v>
      </x:c>
      <x:c r="B586" s="28" t="str">
        <x:v>/ˈpeɪʃnt/</x:v>
      </x:c>
      <x:c r="C586" s="40" t="str">
        <x:v>病人</x:v>
      </x:c>
      <x:c r="D586" s="68"/>
      <x:c r="E586" s="39" t="str">
        <x:v>pizza</x:v>
      </x:c>
      <x:c r="F586" s="28" t="str">
        <x:v>/ˈpiːtsə/</x:v>
      </x:c>
      <x:c r="G586" s="40" t="str">
        <x:v>比萨饼</x:v>
      </x:c>
      <x:c r="H586" s="68"/>
      <x:c r="I586" s="39" t="str">
        <x:v>pot</x:v>
      </x:c>
      <x:c r="J586" s="28" t="str">
        <x:v>/pɒt/</x:v>
      </x:c>
      <x:c r="K586" s="40" t="str">
        <x:v>锅；罐</x:v>
      </x:c>
    </x:row>
    <x:row r="587" ht="20" customHeight="1">
      <x:c r="A587" s="37" t="str">
        <x:v>pay</x:v>
      </x:c>
      <x:c r="B587" s="21" t="str">
        <x:v>/peɪ/</x:v>
      </x:c>
      <x:c r="C587" s="38" t="str">
        <x:v>工资；报酬</x:v>
      </x:c>
      <x:c r="D587" s="68"/>
      <x:c r="E587" s="37" t="str">
        <x:v>place</x:v>
      </x:c>
      <x:c r="F587" s="21" t="str">
        <x:v>/pleɪs/</x:v>
      </x:c>
      <x:c r="G587" s="38" t="str">
        <x:v>地方；地点</x:v>
      </x:c>
      <x:c r="H587" s="68"/>
      <x:c r="I587" s="37" t="str">
        <x:v>potato</x:v>
      </x:c>
      <x:c r="J587" s="21" t="str">
        <x:v>/pəˈteɪtəʊ/</x:v>
      </x:c>
      <x:c r="K587" s="38" t="str">
        <x:v>马铃薯；土豆</x:v>
      </x:c>
    </x:row>
    <x:row r="588" ht="20" customHeight="1">
      <x:c r="A588" s="39" t="str">
        <x:v>PE</x:v>
      </x:c>
      <x:c r="B588" s="28" t="str"/>
      <x:c r="C588" s="40" t="str">
        <x:v>(= physical education) 体育</x:v>
      </x:c>
      <x:c r="D588" s="68"/>
      <x:c r="E588" s="39" t="str">
        <x:v>plane</x:v>
      </x:c>
      <x:c r="F588" s="28" t="str">
        <x:v>/pleɪn/</x:v>
      </x:c>
      <x:c r="G588" s="40" t="str">
        <x:v>飞机</x:v>
      </x:c>
      <x:c r="H588" s="68"/>
      <x:c r="I588" s="39" t="str">
        <x:v>pound</x:v>
      </x:c>
      <x:c r="J588" s="28" t="str">
        <x:v>/paʊnd/</x:v>
      </x:c>
      <x:c r="K588" s="40" t="str">
        <x:v>英镑</x:v>
      </x:c>
    </x:row>
    <x:row r="589" ht="20" customHeight="1">
      <x:c r="A589" s="37" t="str">
        <x:v>peace</x:v>
      </x:c>
      <x:c r="B589" s="21" t="str">
        <x:v>/piːs/</x:v>
      </x:c>
      <x:c r="C589" s="38" t="str">
        <x:v>和平</x:v>
      </x:c>
      <x:c r="D589" s="68"/>
      <x:c r="E589" s="37" t="str">
        <x:v>planet</x:v>
      </x:c>
      <x:c r="F589" s="21" t="str">
        <x:v>/ˈplænɪt/</x:v>
      </x:c>
      <x:c r="G589" s="38" t="str">
        <x:v>行星</x:v>
      </x:c>
      <x:c r="H589" s="68"/>
      <x:c r="I589" s="37" t="str">
        <x:v>practice</x:v>
      </x:c>
      <x:c r="J589" s="21" t="str">
        <x:v>/ˈpræktɪs/</x:v>
      </x:c>
      <x:c r="K589" s="38" t="str">
        <x:v>练习；实践</x:v>
      </x:c>
    </x:row>
    <x:row r="590" ht="20" customHeight="1">
      <x:c r="A590" s="39" t="str">
        <x:v>pear</x:v>
      </x:c>
      <x:c r="B590" s="28" t="str">
        <x:v>/peə/</x:v>
      </x:c>
      <x:c r="C590" s="40" t="str">
        <x:v>梨</x:v>
      </x:c>
      <x:c r="D590" s="68"/>
      <x:c r="E590" s="39" t="str">
        <x:v>plant</x:v>
      </x:c>
      <x:c r="F590" s="28" t="str">
        <x:v>/plɑːnt/</x:v>
      </x:c>
      <x:c r="G590" s="40" t="str">
        <x:v>植物</x:v>
      </x:c>
      <x:c r="H590" s="68"/>
      <x:c r="I590" s="39" t="str">
        <x:v>predict</x:v>
      </x:c>
      <x:c r="J590" s="28" t="str">
        <x:v>/prɪˈdɪkt/</x:v>
      </x:c>
      <x:c r="K590" s="40" t="str">
        <x:v>预测（兼作动词）</x:v>
      </x:c>
    </x:row>
    <x:row r="591" ht="20" customHeight="1">
      <x:c r="A591" s="37" t="str">
        <x:v>pen</x:v>
      </x:c>
      <x:c r="B591" s="21" t="str">
        <x:v>/pen/</x:v>
      </x:c>
      <x:c r="C591" s="38" t="str">
        <x:v>笔；钢笔</x:v>
      </x:c>
      <x:c r="D591" s="68"/>
      <x:c r="E591" s="37" t="str">
        <x:v>plastic</x:v>
      </x:c>
      <x:c r="F591" s="21" t="str">
        <x:v>/ˈplæstɪk/</x:v>
      </x:c>
      <x:c r="G591" s="38" t="str">
        <x:v>塑料</x:v>
      </x:c>
      <x:c r="H591" s="68"/>
      <x:c r="I591" s="37" t="str">
        <x:v>preference</x:v>
      </x:c>
      <x:c r="J591" s="21" t="str">
        <x:v>/ˈprefrəns/</x:v>
      </x:c>
      <x:c r="K591" s="38" t="str">
        <x:v>偏爱；优先选择（注：词表中prefer为动词，此处补充名词形式）</x:v>
      </x:c>
    </x:row>
    <x:row r="592" ht="20" customHeight="1">
      <x:c r="A592" s="39" t="str">
        <x:v>pencil</x:v>
      </x:c>
      <x:c r="B592" s="28" t="str">
        <x:v>/ˈpensl/</x:v>
      </x:c>
      <x:c r="C592" s="40" t="str">
        <x:v>铅笔</x:v>
      </x:c>
      <x:c r="D592" s="68"/>
      <x:c r="E592" s="39" t="str">
        <x:v>plate</x:v>
      </x:c>
      <x:c r="F592" s="28" t="str">
        <x:v>/pleɪt/</x:v>
      </x:c>
      <x:c r="G592" s="40" t="str">
        <x:v>盘子；碟子</x:v>
      </x:c>
      <x:c r="H592" s="68"/>
      <x:c r="I592" s="39" t="str">
        <x:v>present</x:v>
      </x:c>
      <x:c r="J592" s="28" t="str">
        <x:v>/ˈpreznt/</x:v>
      </x:c>
      <x:c r="K592" s="40" t="str">
        <x:v>礼物；现在（兼作形容词/动词）</x:v>
      </x:c>
    </x:row>
    <x:row r="593" ht="20" customHeight="1">
      <x:c r="A593" s="41" t="str">
        <x:v>people</x:v>
      </x:c>
      <x:c r="B593" s="42" t="str">
        <x:v>/ˈpiːpl/</x:v>
      </x:c>
      <x:c r="C593" s="43" t="str">
        <x:v>人；人们</x:v>
      </x:c>
      <x:c r="D593" s="68"/>
      <x:c r="E593" s="41" t="str">
        <x:v>play</x:v>
      </x:c>
      <x:c r="F593" s="42" t="str">
        <x:v>/pleɪ/</x:v>
      </x:c>
      <x:c r="G593" s="43" t="str">
        <x:v>戏剧；剧本</x:v>
      </x:c>
      <x:c r="H593" s="68"/>
      <x:c r="I593" s="41" t="str">
        <x:v>president</x:v>
      </x:c>
      <x:c r="J593" s="42" t="str">
        <x:v>/ˈprezɪdənt/</x:v>
      </x:c>
      <x:c r="K593" s="43" t="str">
        <x:v>总统；主席</x:v>
      </x:c>
    </x:row>
    <x:row r="594">
      <x:c r="A594" s="68"/>
      <x:c r="B594" s="68"/>
      <x:c r="C594" s="68"/>
      <x:c r="D594" s="68"/>
      <x:c r="E594" s="68"/>
      <x:c r="F594" s="68"/>
      <x:c r="G594" s="68"/>
      <x:c r="H594" s="68"/>
      <x:c r="I594" s="68"/>
      <x:c r="J594" s="68"/>
      <x:c r="K594" s="68"/>
    </x:row>
    <x:row r="595" ht="27" customHeight="1">
      <x:c r="A595" s="65" t="str">
        <x:v>P 开头单词（2/3）</x:v>
      </x:c>
      <x:c r="B595" s="66"/>
      <x:c r="C595" s="67"/>
      <x:c r="D595" s="68"/>
      <x:c r="E595" s="69"/>
      <x:c r="F595" s="66"/>
      <x:c r="G595" s="67"/>
      <x:c r="H595" s="68"/>
      <x:c r="I595" s="69"/>
      <x:c r="J595" s="66"/>
      <x:c r="K595" s="67"/>
    </x:row>
    <x:row r="596" ht="19" customHeight="1">
      <x:c r="A596" s="70" t="str">
        <x:v>英文单词 / 短语</x:v>
      </x:c>
      <x:c r="B596" s="71" t="str">
        <x:v>音标</x:v>
      </x:c>
      <x:c r="C596" s="72" t="str">
        <x:v>中文解释</x:v>
      </x:c>
      <x:c r="D596" s="68"/>
      <x:c r="E596" s="70" t="str">
        <x:v>英文单词 / 短语</x:v>
      </x:c>
      <x:c r="F596" s="71" t="str">
        <x:v>音标</x:v>
      </x:c>
      <x:c r="G596" s="72" t="str">
        <x:v>中文解释</x:v>
      </x:c>
      <x:c r="H596" s="68"/>
      <x:c r="I596" s="70" t="str">
        <x:v>英文单词 / 短语</x:v>
      </x:c>
      <x:c r="J596" s="71" t="str">
        <x:v>音标</x:v>
      </x:c>
      <x:c r="K596" s="72" t="str">
        <x:v>中文解释</x:v>
      </x:c>
    </x:row>
    <x:row r="597" ht="20" customHeight="1">
      <x:c r="A597" s="39" t="str">
        <x:v>price</x:v>
      </x:c>
      <x:c r="B597" s="28" t="str">
        <x:v>/praɪs/</x:v>
      </x:c>
      <x:c r="C597" s="40" t="str">
        <x:v>价格</x:v>
      </x:c>
      <x:c r="D597" s="68"/>
      <x:c r="E597" s="39" t="str">
        <x:v>pull</x:v>
      </x:c>
      <x:c r="F597" s="28" t="str">
        <x:v>/pʊl/</x:v>
      </x:c>
      <x:c r="G597" s="40" t="str">
        <x:v>拉；拽；扯（兼作动词）</x:v>
      </x:c>
      <x:c r="H597" s="68"/>
      <x:c r="I597" s="39" t="str">
        <x:v>police</x:v>
      </x:c>
      <x:c r="J597" s="28" t="str">
        <x:v>/pəˈliːs/</x:v>
      </x:c>
      <x:c r="K597" s="40" t="str">
        <x:v>维持治安（注：名词，此处不重复）</x:v>
      </x:c>
    </x:row>
    <x:row r="598" ht="20" customHeight="1">
      <x:c r="A598" s="37" t="str">
        <x:v>primary</x:v>
      </x:c>
      <x:c r="B598" s="21" t="str">
        <x:v>/ˈpraɪməri/</x:v>
      </x:c>
      <x:c r="C598" s="38" t="str">
        <x:v>小学；首要事物（兼作形容词）</x:v>
      </x:c>
      <x:c r="D598" s="68"/>
      <x:c r="E598" s="37" t="str">
        <x:v>pupil</x:v>
      </x:c>
      <x:c r="F598" s="21" t="str">
        <x:v>/ˈpjuːpl/</x:v>
      </x:c>
      <x:c r="G598" s="38" t="str">
        <x:v>学生；小学生</x:v>
      </x:c>
      <x:c r="H598" s="68"/>
      <x:c r="I598" s="37" t="str">
        <x:v>pollute</x:v>
      </x:c>
      <x:c r="J598" s="21" t="str">
        <x:v>/pəˈluːt/</x:v>
      </x:c>
      <x:c r="K598" s="38" t="str">
        <x:v>污染</x:v>
      </x:c>
    </x:row>
    <x:row r="599" ht="20" customHeight="1">
      <x:c r="A599" s="39" t="str">
        <x:v>print</x:v>
      </x:c>
      <x:c r="B599" s="28" t="str">
        <x:v>/prɪnt/</x:v>
      </x:c>
      <x:c r="C599" s="40" t="str">
        <x:v>印刷品；打印件</x:v>
      </x:c>
      <x:c r="D599" s="68"/>
      <x:c r="E599" s="39" t="str">
        <x:v>pure</x:v>
      </x:c>
      <x:c r="F599" s="28" t="str">
        <x:v>/pjʊə/</x:v>
      </x:c>
      <x:c r="G599" s="40" t="str">
        <x:v>纯净的事物（兼作形容词）</x:v>
      </x:c>
      <x:c r="H599" s="68"/>
      <x:c r="I599" s="39" t="str">
        <x:v>poor</x:v>
      </x:c>
      <x:c r="J599" s="28" t="str">
        <x:v>/pʊə/</x:v>
      </x:c>
      <x:c r="K599" s="40" t="str">
        <x:v>使贫穷（注：词表中未标，补充）</x:v>
      </x:c>
    </x:row>
    <x:row r="600" ht="20" customHeight="1">
      <x:c r="A600" s="37" t="str">
        <x:v>prison</x:v>
      </x:c>
      <x:c r="B600" s="21" t="str">
        <x:v>/ˈprɪzn/</x:v>
      </x:c>
      <x:c r="C600" s="38" t="str">
        <x:v>监狱</x:v>
      </x:c>
      <x:c r="D600" s="68"/>
      <x:c r="E600" s="37" t="str">
        <x:v>push</x:v>
      </x:c>
      <x:c r="F600" s="21" t="str">
        <x:v>/pʊʃ/</x:v>
      </x:c>
      <x:c r="G600" s="38" t="str">
        <x:v>推（兼作动词）</x:v>
      </x:c>
      <x:c r="H600" s="68"/>
      <x:c r="I600" s="37" t="str">
        <x:v>post</x:v>
      </x:c>
      <x:c r="J600" s="21" t="str">
        <x:v>/pəʊst/</x:v>
      </x:c>
      <x:c r="K600" s="38" t="str">
        <x:v>邮寄；张贴</x:v>
      </x:c>
    </x:row>
    <x:row r="601" ht="20" customHeight="1">
      <x:c r="A601" s="39" t="str">
        <x:v>private</x:v>
      </x:c>
      <x:c r="B601" s="28" t="str">
        <x:v>/ˈpraɪvət/</x:v>
      </x:c>
      <x:c r="C601" s="40" t="str">
        <x:v>私人的事物（兼作形容词）</x:v>
      </x:c>
      <x:c r="D601" s="68"/>
      <x:c r="E601" s="39" t="str">
        <x:v>put</x:v>
      </x:c>
      <x:c r="F601" s="28" t="str">
        <x:v>/pʊt/</x:v>
      </x:c>
      <x:c r="G601" s="40" t="str">
        <x:v>放置（兼作动词）</x:v>
      </x:c>
      <x:c r="H601" s="68"/>
      <x:c r="I601" s="39" t="str">
        <x:v>practice</x:v>
      </x:c>
      <x:c r="J601" s="28" t="str">
        <x:v>/ˈpræktɪs/</x:v>
      </x:c>
      <x:c r="K601" s="40" t="str">
        <x:v>练习；实践</x:v>
      </x:c>
    </x:row>
    <x:row r="602" ht="20" customHeight="1">
      <x:c r="A602" s="37" t="str">
        <x:v>prize</x:v>
      </x:c>
      <x:c r="B602" s="21" t="str">
        <x:v>/praɪz/</x:v>
      </x:c>
      <x:c r="C602" s="38" t="str">
        <x:v>奖品；奖项</x:v>
      </x:c>
      <x:c r="D602" s="68"/>
      <x:c r="E602" s="73" t="str">
        <x:v>动词（42）</x:v>
      </x:c>
      <x:c r="F602" s="68"/>
      <x:c r="G602" s="74"/>
      <x:c r="H602" s="68"/>
      <x:c r="I602" s="37" t="str">
        <x:v>predict</x:v>
      </x:c>
      <x:c r="J602" s="21" t="str">
        <x:v>/prɪˈdɪkt/</x:v>
      </x:c>
      <x:c r="K602" s="38" t="str">
        <x:v>预测；预言</x:v>
      </x:c>
    </x:row>
    <x:row r="603" ht="20" customHeight="1">
      <x:c r="A603" s="39" t="str">
        <x:v>probably</x:v>
      </x:c>
      <x:c r="B603" s="28" t="str">
        <x:v>/ˈprɒbəbli/</x:v>
      </x:c>
      <x:c r="C603" s="40" t="str">
        <x:v>可能性（兼作副词）</x:v>
      </x:c>
      <x:c r="D603" s="68"/>
      <x:c r="E603" s="39" t="str">
        <x:v>paint</x:v>
      </x:c>
      <x:c r="F603" s="28" t="str">
        <x:v>/peɪnt/</x:v>
      </x:c>
      <x:c r="G603" s="40" t="str">
        <x:v>绘画；给……上油漆</x:v>
      </x:c>
      <x:c r="H603" s="68"/>
      <x:c r="I603" s="39" t="str">
        <x:v>prefer</x:v>
      </x:c>
      <x:c r="J603" s="28" t="str">
        <x:v>/prɪˈfɜː/</x:v>
      </x:c>
      <x:c r="K603" s="40" t="str">
        <x:v>更喜欢</x:v>
      </x:c>
    </x:row>
    <x:row r="604" ht="20" customHeight="1">
      <x:c r="A604" s="37" t="str">
        <x:v>problem</x:v>
      </x:c>
      <x:c r="B604" s="21" t="str">
        <x:v>/ˈprɒbləm/</x:v>
      </x:c>
      <x:c r="C604" s="38" t="str">
        <x:v>问题；难题</x:v>
      </x:c>
      <x:c r="D604" s="68"/>
      <x:c r="E604" s="37" t="str">
        <x:v>paper</x:v>
      </x:c>
      <x:c r="F604" s="21" t="str">
        <x:v>/ˈpeɪpə/</x:v>
      </x:c>
      <x:c r="G604" s="38" t="str">
        <x:v>用纸包装（注：词表中未标，补充）</x:v>
      </x:c>
      <x:c r="H604" s="68"/>
      <x:c r="I604" s="37" t="str">
        <x:v>prepare</x:v>
      </x:c>
      <x:c r="J604" s="21" t="str">
        <x:v>/prɪˈpeə/</x:v>
      </x:c>
      <x:c r="K604" s="38" t="str">
        <x:v>准备；预备</x:v>
      </x:c>
    </x:row>
    <x:row r="605" ht="20" customHeight="1">
      <x:c r="A605" s="39" t="str">
        <x:v>process</x:v>
      </x:c>
      <x:c r="B605" s="28" t="str">
        <x:v>/ˈprəʊses/</x:v>
      </x:c>
      <x:c r="C605" s="40" t="str">
        <x:v>过程；进程（兼作动词）</x:v>
      </x:c>
      <x:c r="D605" s="68"/>
      <x:c r="E605" s="39" t="str">
        <x:v>park</x:v>
      </x:c>
      <x:c r="F605" s="28" t="str">
        <x:v>/pɑːk/</x:v>
      </x:c>
      <x:c r="G605" s="40" t="str">
        <x:v>停放（车辆）</x:v>
      </x:c>
      <x:c r="H605" s="68"/>
      <x:c r="I605" s="39" t="str">
        <x:v>present</x:v>
      </x:c>
      <x:c r="J605" s="28" t="str">
        <x:v>/prɪˈzent/</x:v>
      </x:c>
      <x:c r="K605" s="40" t="str">
        <x:v>赠送；颁发；呈现</x:v>
      </x:c>
    </x:row>
    <x:row r="606" ht="20" customHeight="1">
      <x:c r="A606" s="37" t="str">
        <x:v>produce</x:v>
      </x:c>
      <x:c r="B606" s="21" t="str">
        <x:v>/ˈprɒdjuːs/</x:v>
      </x:c>
      <x:c r="C606" s="38" t="str">
        <x:v>产品；农产品（兼作动词）</x:v>
      </x:c>
      <x:c r="D606" s="68"/>
      <x:c r="E606" s="37" t="str">
        <x:v>part</x:v>
      </x:c>
      <x:c r="F606" s="21" t="str">
        <x:v>/pɑːt/</x:v>
      </x:c>
      <x:c r="G606" s="38" t="str">
        <x:v>分离；分开（注：词表中未标，补充）</x:v>
      </x:c>
      <x:c r="H606" s="68"/>
      <x:c r="I606" s="37" t="str">
        <x:v>press</x:v>
      </x:c>
      <x:c r="J606" s="21" t="str">
        <x:v>/pres/</x:v>
      </x:c>
      <x:c r="K606" s="38" t="str">
        <x:v>压；按（注：词表中未标，补充）</x:v>
      </x:c>
    </x:row>
    <x:row r="607" ht="20" customHeight="1">
      <x:c r="A607" s="39" t="str">
        <x:v>product</x:v>
      </x:c>
      <x:c r="B607" s="28" t="str">
        <x:v>/ˈprɒdʌkt/</x:v>
      </x:c>
      <x:c r="C607" s="40" t="str">
        <x:v>产品；产物</x:v>
      </x:c>
      <x:c r="D607" s="68"/>
      <x:c r="E607" s="39" t="str">
        <x:v>pass</x:v>
      </x:c>
      <x:c r="F607" s="28" t="str">
        <x:v>/pɑːs/</x:v>
      </x:c>
      <x:c r="G607" s="40" t="str">
        <x:v>传递；经过；通过（考试）</x:v>
      </x:c>
      <x:c r="H607" s="68"/>
      <x:c r="I607" s="39" t="str">
        <x:v>pretend</x:v>
      </x:c>
      <x:c r="J607" s="28" t="str">
        <x:v>/prɪˈtend/</x:v>
      </x:c>
      <x:c r="K607" s="40" t="str">
        <x:v>假装（注：词表中未标，补充）</x:v>
      </x:c>
    </x:row>
    <x:row r="608" ht="20" customHeight="1">
      <x:c r="A608" s="37" t="str">
        <x:v>program</x:v>
      </x:c>
      <x:c r="B608" s="21" t="str">
        <x:v>/ˈprəʊɡræm/</x:v>
      </x:c>
      <x:c r="C608" s="38" t="str">
        <x:v>节目；计划</x:v>
      </x:c>
      <x:c r="D608" s="68"/>
      <x:c r="E608" s="37" t="str">
        <x:v>pay</x:v>
      </x:c>
      <x:c r="F608" s="21" t="str">
        <x:v>/peɪ/</x:v>
      </x:c>
      <x:c r="G608" s="38" t="str">
        <x:v>支付；付钱</x:v>
      </x:c>
      <x:c r="H608" s="68"/>
      <x:c r="I608" s="37" t="str">
        <x:v>prevent</x:v>
      </x:c>
      <x:c r="J608" s="21" t="str">
        <x:v>/prɪˈvent/</x:v>
      </x:c>
      <x:c r="K608" s="38" t="str">
        <x:v>阻止；预防（注：词表中未标，补充）</x:v>
      </x:c>
    </x:row>
    <x:row r="609" ht="20" customHeight="1">
      <x:c r="A609" s="39" t="str">
        <x:v>progress</x:v>
      </x:c>
      <x:c r="B609" s="28" t="str">
        <x:v>/ˈprəʊɡres/</x:v>
      </x:c>
      <x:c r="C609" s="40" t="str">
        <x:v>进步；进展</x:v>
      </x:c>
      <x:c r="D609" s="68"/>
      <x:c r="E609" s="39" t="str">
        <x:v>PE</x:v>
      </x:c>
      <x:c r="F609" s="28" t="str">
        <x:v>/piː ˈiː/</x:v>
      </x:c>
      <x:c r="G609" s="40" t="str">
        <x:v>上体育课（注：名词，此处不重复）</x:v>
      </x:c>
      <x:c r="H609" s="68"/>
      <x:c r="I609" s="39" t="str">
        <x:v>print</x:v>
      </x:c>
      <x:c r="J609" s="28" t="str">
        <x:v>/prɪnt/</x:v>
      </x:c>
      <x:c r="K609" s="40" t="str">
        <x:v>打印；印刷</x:v>
      </x:c>
    </x:row>
    <x:row r="610" ht="20" customHeight="1">
      <x:c r="A610" s="37" t="str">
        <x:v>project</x:v>
      </x:c>
      <x:c r="B610" s="21" t="str">
        <x:v>/ˈprɒdʒekt/</x:v>
      </x:c>
      <x:c r="C610" s="38" t="str">
        <x:v>计划；工程；项目</x:v>
      </x:c>
      <x:c r="D610" s="68"/>
      <x:c r="E610" s="37" t="str">
        <x:v>perform</x:v>
      </x:c>
      <x:c r="F610" s="21" t="str">
        <x:v>/pəˈfɔːm/</x:v>
      </x:c>
      <x:c r="G610" s="38" t="str">
        <x:v>表演；执行（注：词表中performance为名词，补充动词）</x:v>
      </x:c>
      <x:c r="H610" s="68"/>
      <x:c r="I610" s="37" t="str">
        <x:v>produce</x:v>
      </x:c>
      <x:c r="J610" s="21" t="str">
        <x:v>/prəˈdjuːs/</x:v>
      </x:c>
      <x:c r="K610" s="38" t="str">
        <x:v>生产；制造；产生</x:v>
      </x:c>
    </x:row>
    <x:row r="611" ht="20" customHeight="1">
      <x:c r="A611" s="39" t="str">
        <x:v>promise</x:v>
      </x:c>
      <x:c r="B611" s="28" t="str">
        <x:v>/ˈprɒmɪs/</x:v>
      </x:c>
      <x:c r="C611" s="40" t="str">
        <x:v>承诺；诺言</x:v>
      </x:c>
      <x:c r="D611" s="68"/>
      <x:c r="E611" s="39" t="str">
        <x:v>phone</x:v>
      </x:c>
      <x:c r="F611" s="28" t="str">
        <x:v>/fəʊn/</x:v>
      </x:c>
      <x:c r="G611" s="40" t="str">
        <x:v>打电话</x:v>
      </x:c>
      <x:c r="H611" s="68"/>
      <x:c r="I611" s="39" t="str">
        <x:v>progress</x:v>
      </x:c>
      <x:c r="J611" s="28" t="str">
        <x:v>/prəˈɡres/</x:v>
      </x:c>
      <x:c r="K611" s="40" t="str">
        <x:v>进步；进展</x:v>
      </x:c>
    </x:row>
    <x:row r="612" ht="20" customHeight="1">
      <x:c r="A612" s="37" t="str">
        <x:v>pronounce</x:v>
      </x:c>
      <x:c r="B612" s="21" t="str">
        <x:v>/prəˈnaʊns/</x:v>
      </x:c>
      <x:c r="C612" s="38" t="str">
        <x:v>发音（兼作动词）</x:v>
      </x:c>
      <x:c r="D612" s="68"/>
      <x:c r="E612" s="37" t="str">
        <x:v>photo</x:v>
      </x:c>
      <x:c r="F612" s="21" t="str">
        <x:v>/ˈfəʊtəʊ/</x:v>
      </x:c>
      <x:c r="G612" s="38" t="str">
        <x:v>拍照（注：词表中未标，补充）</x:v>
      </x:c>
      <x:c r="H612" s="68"/>
      <x:c r="I612" s="37" t="str">
        <x:v>project</x:v>
      </x:c>
      <x:c r="J612" s="21" t="str">
        <x:v>/prəˈdʒekt/</x:v>
      </x:c>
      <x:c r="K612" s="38" t="str">
        <x:v>计划；投射（注：名词/动词，此处动词义）</x:v>
      </x:c>
    </x:row>
    <x:row r="613" ht="20" customHeight="1">
      <x:c r="A613" s="39" t="str">
        <x:v>pronunciation</x:v>
      </x:c>
      <x:c r="B613" s="28" t="str">
        <x:v>/prəˌnʌnsiˈeɪʃn/</x:v>
      </x:c>
      <x:c r="C613" s="40" t="str">
        <x:v>发音</x:v>
      </x:c>
      <x:c r="D613" s="68"/>
      <x:c r="E613" s="39" t="str">
        <x:v>pick</x:v>
      </x:c>
      <x:c r="F613" s="28" t="str">
        <x:v>/pɪk/</x:v>
      </x:c>
      <x:c r="G613" s="40" t="str">
        <x:v>采；摘；挑选</x:v>
      </x:c>
      <x:c r="H613" s="68"/>
      <x:c r="I613" s="39" t="str">
        <x:v>promise</x:v>
      </x:c>
      <x:c r="J613" s="28" t="str">
        <x:v>/ˈprɒmɪs/</x:v>
      </x:c>
      <x:c r="K613" s="40" t="str">
        <x:v>承诺；答应</x:v>
      </x:c>
    </x:row>
    <x:row r="614" ht="20" customHeight="1">
      <x:c r="A614" s="37" t="str">
        <x:v>proof</x:v>
      </x:c>
      <x:c r="B614" s="21" t="str">
        <x:v>/pruːf/</x:v>
      </x:c>
      <x:c r="C614" s="38" t="str">
        <x:v>证明；证据（注：词表中protect为动词，此处补充名词形式）</x:v>
      </x:c>
      <x:c r="D614" s="68"/>
      <x:c r="E614" s="37" t="str">
        <x:v>picnic</x:v>
      </x:c>
      <x:c r="F614" s="21" t="str">
        <x:v>/ˈpɪknɪk/</x:v>
      </x:c>
      <x:c r="G614" s="38" t="str">
        <x:v>去野餐</x:v>
      </x:c>
      <x:c r="H614" s="68"/>
      <x:c r="I614" s="37" t="str">
        <x:v>pronounce</x:v>
      </x:c>
      <x:c r="J614" s="21" t="str">
        <x:v>/prəˈnaʊns/</x:v>
      </x:c>
      <x:c r="K614" s="38" t="str">
        <x:v>发音；宣告</x:v>
      </x:c>
    </x:row>
    <x:row r="615" ht="20" customHeight="1">
      <x:c r="A615" s="39" t="str">
        <x:v>proper</x:v>
      </x:c>
      <x:c r="B615" s="28" t="str">
        <x:v>/ˈprɒpə/</x:v>
      </x:c>
      <x:c r="C615" s="40" t="str">
        <x:v>适当的事物（兼作形容词）</x:v>
      </x:c>
      <x:c r="D615" s="68"/>
      <x:c r="E615" s="39" t="str">
        <x:v>picture</x:v>
      </x:c>
      <x:c r="F615" s="28" t="str">
        <x:v>/ˈpɪktʃə/</x:v>
      </x:c>
      <x:c r="G615" s="40" t="str">
        <x:v>描绘；想象（注：词表中未标，补充）</x:v>
      </x:c>
      <x:c r="H615" s="68"/>
      <x:c r="I615" s="39" t="str">
        <x:v>protect</x:v>
      </x:c>
      <x:c r="J615" s="28" t="str">
        <x:v>/prəˈtekt/</x:v>
      </x:c>
      <x:c r="K615" s="40" t="str">
        <x:v>保护</x:v>
      </x:c>
    </x:row>
    <x:row r="616" ht="20" customHeight="1">
      <x:c r="A616" s="37" t="str">
        <x:v>protect</x:v>
      </x:c>
      <x:c r="B616" s="21" t="str">
        <x:v>/prəˈtekt/</x:v>
      </x:c>
      <x:c r="C616" s="38" t="str">
        <x:v>保护（兼作动词）</x:v>
      </x:c>
      <x:c r="D616" s="68"/>
      <x:c r="E616" s="37" t="str">
        <x:v>place</x:v>
      </x:c>
      <x:c r="F616" s="21" t="str">
        <x:v>/pleɪs/</x:v>
      </x:c>
      <x:c r="G616" s="38" t="str">
        <x:v>放置；安排</x:v>
      </x:c>
      <x:c r="H616" s="68"/>
      <x:c r="I616" s="37" t="str">
        <x:v>prove</x:v>
      </x:c>
      <x:c r="J616" s="21" t="str">
        <x:v>/pruːv/</x:v>
      </x:c>
      <x:c r="K616" s="38" t="str">
        <x:v>证明；证实</x:v>
      </x:c>
    </x:row>
    <x:row r="617" ht="20" customHeight="1">
      <x:c r="A617" s="39" t="str">
        <x:v>proud</x:v>
      </x:c>
      <x:c r="B617" s="28" t="str">
        <x:v>/praʊd/</x:v>
      </x:c>
      <x:c r="C617" s="40" t="str">
        <x:v>骄傲的人（兼作形容词）</x:v>
      </x:c>
      <x:c r="D617" s="68"/>
      <x:c r="E617" s="39" t="str">
        <x:v>plant</x:v>
      </x:c>
      <x:c r="F617" s="28" t="str">
        <x:v>/plɑːnt/</x:v>
      </x:c>
      <x:c r="G617" s="40" t="str">
        <x:v>种植</x:v>
      </x:c>
      <x:c r="H617" s="68"/>
      <x:c r="I617" s="39" t="str">
        <x:v>provide</x:v>
      </x:c>
      <x:c r="J617" s="28" t="str">
        <x:v>/prəˈvaɪd/</x:v>
      </x:c>
      <x:c r="K617" s="40" t="str">
        <x:v>提供；供应</x:v>
      </x:c>
    </x:row>
    <x:row r="618" ht="20" customHeight="1">
      <x:c r="A618" s="37" t="str">
        <x:v>prove</x:v>
      </x:c>
      <x:c r="B618" s="21" t="str">
        <x:v>/pruːv/</x:v>
      </x:c>
      <x:c r="C618" s="38" t="str">
        <x:v>证明（兼作动词）</x:v>
      </x:c>
      <x:c r="D618" s="68"/>
      <x:c r="E618" s="37" t="str">
        <x:v>play</x:v>
      </x:c>
      <x:c r="F618" s="21" t="str">
        <x:v>/pleɪ/</x:v>
      </x:c>
      <x:c r="G618" s="38" t="str">
        <x:v>玩；打（球）；演奏；扮演</x:v>
      </x:c>
      <x:c r="H618" s="68"/>
      <x:c r="I618" s="37" t="str">
        <x:v>pull</x:v>
      </x:c>
      <x:c r="J618" s="21" t="str">
        <x:v>/pʊl/</x:v>
      </x:c>
      <x:c r="K618" s="38" t="str">
        <x:v>拉；拽；扯</x:v>
      </x:c>
    </x:row>
    <x:row r="619" ht="20" customHeight="1">
      <x:c r="A619" s="39" t="str">
        <x:v>provide</x:v>
      </x:c>
      <x:c r="B619" s="28" t="str">
        <x:v>/prəˈvaɪd/</x:v>
      </x:c>
      <x:c r="C619" s="40" t="str">
        <x:v>提供（兼作动词）</x:v>
      </x:c>
      <x:c r="D619" s="68"/>
      <x:c r="E619" s="39" t="str">
        <x:v>please</x:v>
      </x:c>
      <x:c r="F619" s="28" t="str">
        <x:v>/pliːz/</x:v>
      </x:c>
      <x:c r="G619" s="40" t="str">
        <x:v>请；使高兴</x:v>
      </x:c>
      <x:c r="H619" s="68"/>
      <x:c r="I619" s="39" t="str">
        <x:v>push</x:v>
      </x:c>
      <x:c r="J619" s="28" t="str">
        <x:v>/pʊʃ/</x:v>
      </x:c>
      <x:c r="K619" s="40" t="str">
        <x:v>推；推动</x:v>
      </x:c>
    </x:row>
    <x:row r="620" ht="20" customHeight="1">
      <x:c r="A620" s="41" t="str">
        <x:v>public</x:v>
      </x:c>
      <x:c r="B620" s="42" t="str">
        <x:v>/ˈpʌblɪk/</x:v>
      </x:c>
      <x:c r="C620" s="43" t="str">
        <x:v>公众；公共场所（兼作形容词）</x:v>
      </x:c>
      <x:c r="D620" s="68"/>
      <x:c r="E620" s="41" t="str">
        <x:v>point</x:v>
      </x:c>
      <x:c r="F620" s="42" t="str">
        <x:v>/pɔɪnt/</x:v>
      </x:c>
      <x:c r="G620" s="43" t="str">
        <x:v>指向；指</x:v>
      </x:c>
      <x:c r="H620" s="68"/>
      <x:c r="I620" s="41" t="str">
        <x:v>put</x:v>
      </x:c>
      <x:c r="J620" s="42" t="str">
        <x:v>/pʊt/</x:v>
      </x:c>
      <x:c r="K620" s="43" t="str">
        <x:v>放；摆；安置</x:v>
      </x:c>
    </x:row>
    <x:row r="621">
      <x:c r="A621" s="68"/>
      <x:c r="B621" s="68"/>
      <x:c r="C621" s="68"/>
      <x:c r="D621" s="68"/>
      <x:c r="E621" s="68"/>
      <x:c r="F621" s="68"/>
      <x:c r="G621" s="68"/>
      <x:c r="H621" s="68"/>
      <x:c r="I621" s="68"/>
      <x:c r="J621" s="68"/>
      <x:c r="K621" s="68"/>
    </x:row>
    <x:row r="622" ht="27" customHeight="1">
      <x:c r="A622" s="65" t="str">
        <x:v>P 开头单词（3/3）</x:v>
      </x:c>
      <x:c r="B622" s="66"/>
      <x:c r="C622" s="67"/>
      <x:c r="D622" s="68"/>
      <x:c r="E622" s="69"/>
      <x:c r="F622" s="66"/>
      <x:c r="G622" s="67"/>
      <x:c r="H622" s="68"/>
      <x:c r="I622" s="69"/>
      <x:c r="J622" s="66"/>
      <x:c r="K622" s="67"/>
    </x:row>
    <x:row r="623" ht="19" customHeight="1">
      <x:c r="A623" s="70" t="str">
        <x:v>英文单词 / 短语</x:v>
      </x:c>
      <x:c r="B623" s="71" t="str">
        <x:v>音标</x:v>
      </x:c>
      <x:c r="C623" s="72" t="str">
        <x:v>中文解释</x:v>
      </x:c>
      <x:c r="D623" s="68"/>
      <x:c r="E623" s="70" t="str">
        <x:v>英文单词 / 短语</x:v>
      </x:c>
      <x:c r="F623" s="71" t="str">
        <x:v>音标</x:v>
      </x:c>
      <x:c r="G623" s="72" t="str">
        <x:v>中文解释</x:v>
      </x:c>
      <x:c r="H623" s="68"/>
      <x:c r="I623" s="70" t="str">
        <x:v>英文单词 / 短语</x:v>
      </x:c>
      <x:c r="J623" s="71" t="str">
        <x:v>音标</x:v>
      </x:c>
      <x:c r="K623" s="72" t="str">
        <x:v>中文解释</x:v>
      </x:c>
    </x:row>
    <x:row r="624" ht="20" customHeight="1">
      <x:c r="A624" s="73" t="str">
        <x:v>形容词（27）</x:v>
      </x:c>
      <x:c r="B624" s="68"/>
      <x:c r="C624" s="74"/>
      <x:c r="D624" s="68"/>
      <x:c r="E624" s="39" t="str">
        <x:v>proud</x:v>
      </x:c>
      <x:c r="F624" s="28" t="str">
        <x:v>/praʊd/</x:v>
      </x:c>
      <x:c r="G624" s="40" t="str">
        <x:v>骄傲的；自豪的</x:v>
      </x:c>
      <x:c r="H624" s="68"/>
      <x:c r="I624" s="39" t="str">
        <x:v>be</x:v>
      </x:c>
      <x:c r="J624" s="28" t="str"/>
      <x:c r="K624" s="40" t="str">
        <x:v>proud of… 为……而感到骄傲</x:v>
      </x:c>
    </x:row>
    <x:row r="625" ht="20" customHeight="1">
      <x:c r="A625" s="37" t="str">
        <x:v>Pacific</x:v>
      </x:c>
      <x:c r="B625" s="21" t="str">
        <x:v>/pəˈsɪfɪk/</x:v>
      </x:c>
      <x:c r="C625" s="38" t="str">
        <x:v>太平洋的</x:v>
      </x:c>
      <x:c r="D625" s="68"/>
      <x:c r="E625" s="37" t="str">
        <x:v>public</x:v>
      </x:c>
      <x:c r="F625" s="21" t="str">
        <x:v>/ˈpʌblɪk/</x:v>
      </x:c>
      <x:c r="G625" s="38" t="str">
        <x:v>公共的；公众的</x:v>
      </x:c>
      <x:c r="H625" s="68"/>
      <x:c r="I625" s="37" t="str">
        <x:v>first</x:v>
      </x:c>
      <x:c r="J625" s="21" t="str"/>
      <x:c r="K625" s="38" t="str">
        <x:v>prize 一等奖</x:v>
      </x:c>
    </x:row>
    <x:row r="626" ht="20" customHeight="1">
      <x:c r="A626" s="39" t="str">
        <x:v>painful</x:v>
      </x:c>
      <x:c r="B626" s="28" t="str">
        <x:v>/ˈpeɪnfl/</x:v>
      </x:c>
      <x:c r="C626" s="40" t="str">
        <x:v>疼痛的；令人痛苦的</x:v>
      </x:c>
      <x:c r="D626" s="68"/>
      <x:c r="E626" s="39" t="str">
        <x:v>pure</x:v>
      </x:c>
      <x:c r="F626" s="28" t="str">
        <x:v>/pjʊə/</x:v>
      </x:c>
      <x:c r="G626" s="40" t="str">
        <x:v>纯净的；纯粹的</x:v>
      </x:c>
      <x:c r="H626" s="68"/>
      <x:c r="I626" s="39" t="str">
        <x:v>get</x:v>
      </x:c>
      <x:c r="J626" s="28" t="str"/>
      <x:c r="K626" s="40" t="str">
        <x:v>ready for 为……做准备（注：G开头短语，此处不重复）</x:v>
      </x:c>
    </x:row>
    <x:row r="627" ht="20" customHeight="1">
      <x:c r="A627" s="37" t="str">
        <x:v>pale</x:v>
      </x:c>
      <x:c r="B627" s="21" t="str">
        <x:v>/peɪl/</x:v>
      </x:c>
      <x:c r="C627" s="38" t="str">
        <x:v>苍白的；浅色的</x:v>
      </x:c>
      <x:c r="D627" s="68"/>
      <x:c r="E627" s="37" t="str">
        <x:v>purple</x:v>
      </x:c>
      <x:c r="F627" s="21" t="str">
        <x:v>/ˈpɜːpl/</x:v>
      </x:c>
      <x:c r="G627" s="38" t="str">
        <x:v>紫色的</x:v>
      </x:c>
      <x:c r="H627" s="68"/>
      <x:c r="I627" s="37" t="str">
        <x:v>in</x:v>
      </x:c>
      <x:c r="J627" s="21" t="str"/>
      <x:c r="K627" s="38" t="str">
        <x:v>pieces 破碎</x:v>
      </x:c>
    </x:row>
    <x:row r="628" ht="20" customHeight="1">
      <x:c r="A628" s="39" t="str">
        <x:v>perfect</x:v>
      </x:c>
      <x:c r="B628" s="28" t="str">
        <x:v>/ˈpɜːfɪkt/</x:v>
      </x:c>
      <x:c r="C628" s="40" t="str">
        <x:v>完美的；极好的</x:v>
      </x:c>
      <x:c r="D628" s="68"/>
      <x:c r="E628" s="73" t="str">
        <x:v>副词（8）</x:v>
      </x:c>
      <x:c r="F628" s="68"/>
      <x:c r="G628" s="74"/>
      <x:c r="H628" s="68"/>
      <x:c r="I628" s="39" t="str">
        <x:v>in</x:v>
      </x:c>
      <x:c r="J628" s="28" t="str"/>
      <x:c r="K628" s="40" t="str">
        <x:v>place 在正确的位置（注：词表中未标，补充）</x:v>
      </x:c>
    </x:row>
    <x:row r="629" ht="20" customHeight="1">
      <x:c r="A629" s="37" t="str">
        <x:v>personal</x:v>
      </x:c>
      <x:c r="B629" s="21" t="str">
        <x:v>/ˈpɜːsənl/</x:v>
      </x:c>
      <x:c r="C629" s="38" t="str">
        <x:v>个人的；私人的</x:v>
      </x:c>
      <x:c r="D629" s="68"/>
      <x:c r="E629" s="37" t="str">
        <x:v>particularly</x:v>
      </x:c>
      <x:c r="F629" s="21" t="str">
        <x:v>/pəˈtɪkjələli/</x:v>
      </x:c>
      <x:c r="G629" s="38" t="str">
        <x:v>尤其；特别（注：词表中未标，补充）</x:v>
      </x:c>
      <x:c r="H629" s="68"/>
      <x:c r="I629" s="37" t="str">
        <x:v>in</x:v>
      </x:c>
      <x:c r="J629" s="21" t="str"/>
      <x:c r="K629" s="38" t="str">
        <x:v>peace 和平地；平静地</x:v>
      </x:c>
    </x:row>
    <x:row r="630" ht="20" customHeight="1">
      <x:c r="A630" s="39" t="str">
        <x:v>pink</x:v>
      </x:c>
      <x:c r="B630" s="28" t="str">
        <x:v>/pɪŋk/</x:v>
      </x:c>
      <x:c r="C630" s="40" t="str">
        <x:v>粉红色的</x:v>
      </x:c>
      <x:c r="D630" s="68"/>
      <x:c r="E630" s="39" t="str">
        <x:v>past</x:v>
      </x:c>
      <x:c r="F630" s="28" t="str">
        <x:v>/pɑːst/</x:v>
      </x:c>
      <x:c r="G630" s="40" t="str">
        <x:v>过；经过</x:v>
      </x:c>
      <x:c r="H630" s="68"/>
      <x:c r="I630" s="39" t="str">
        <x:v>make</x:v>
      </x:c>
      <x:c r="J630" s="28" t="str"/>
      <x:c r="K630" s="40" t="str">
        <x:v>progress 取得进步</x:v>
      </x:c>
    </x:row>
    <x:row r="631" ht="20" customHeight="1">
      <x:c r="A631" s="37" t="str">
        <x:v>plain</x:v>
      </x:c>
      <x:c r="B631" s="21" t="str">
        <x:v>/pleɪn/</x:v>
      </x:c>
      <x:c r="C631" s="38" t="str">
        <x:v>朴素的；简单的（注：词表中未标，补充）</x:v>
      </x:c>
      <x:c r="D631" s="68"/>
      <x:c r="E631" s="37" t="str">
        <x:v>perhaps</x:v>
      </x:c>
      <x:c r="F631" s="21" t="str">
        <x:v>/pəˈhæps/</x:v>
      </x:c>
      <x:c r="G631" s="38" t="str">
        <x:v>可能；也许</x:v>
      </x:c>
      <x:c r="H631" s="68"/>
      <x:c r="I631" s="37" t="str">
        <x:v>on</x:v>
      </x:c>
      <x:c r="J631" s="21" t="str"/>
      <x:c r="K631" s="38" t="str">
        <x:v>purpose 故意地（注：词表中未标，补充）</x:v>
      </x:c>
    </x:row>
    <x:row r="632" ht="20" customHeight="1">
      <x:c r="A632" s="39" t="str">
        <x:v>plastic</x:v>
      </x:c>
      <x:c r="B632" s="28" t="str">
        <x:v>/ˈplæstɪk/</x:v>
      </x:c>
      <x:c r="C632" s="40" t="str">
        <x:v>塑料的</x:v>
      </x:c>
      <x:c r="D632" s="68"/>
      <x:c r="E632" s="39" t="str">
        <x:v>personally</x:v>
      </x:c>
      <x:c r="F632" s="28" t="str">
        <x:v>/ˈpɜːsənəli/</x:v>
      </x:c>
      <x:c r="G632" s="40" t="str">
        <x:v>亲自；就个人而言（注：词表中未标，补充）</x:v>
      </x:c>
      <x:c r="H632" s="68"/>
      <x:c r="I632" s="39" t="str">
        <x:v>play</x:v>
      </x:c>
      <x:c r="J632" s="28" t="str"/>
      <x:c r="K632" s="40" t="str">
        <x:v>a part in 参与；起作用（注：词表中未标，补充）</x:v>
      </x:c>
    </x:row>
    <x:row r="633" ht="20" customHeight="1">
      <x:c r="A633" s="37" t="str">
        <x:v>pleasant</x:v>
      </x:c>
      <x:c r="B633" s="21" t="str">
        <x:v>/ˈpleznt/</x:v>
      </x:c>
      <x:c r="C633" s="38" t="str">
        <x:v>令人愉快的；舒适的</x:v>
      </x:c>
      <x:c r="D633" s="68"/>
      <x:c r="E633" s="37" t="str">
        <x:v>pretty</x:v>
      </x:c>
      <x:c r="F633" s="21" t="str">
        <x:v>/ˈprɪti/</x:v>
      </x:c>
      <x:c r="G633" s="38" t="str">
        <x:v>相当；很</x:v>
      </x:c>
      <x:c r="H633" s="68"/>
      <x:c r="I633" s="37" t="str">
        <x:v>play</x:v>
      </x:c>
      <x:c r="J633" s="21" t="str"/>
      <x:c r="K633" s="38" t="str">
        <x:v>with 和……一起玩；玩弄</x:v>
      </x:c>
    </x:row>
    <x:row r="634" ht="20" customHeight="1">
      <x:c r="A634" s="39" t="str">
        <x:v>polite</x:v>
      </x:c>
      <x:c r="B634" s="28" t="str">
        <x:v>/pəˈlaɪt/</x:v>
      </x:c>
      <x:c r="C634" s="40" t="str">
        <x:v>有礼貌的；客气的</x:v>
      </x:c>
      <x:c r="D634" s="68"/>
      <x:c r="E634" s="39" t="str">
        <x:v>probably</x:v>
      </x:c>
      <x:c r="F634" s="28" t="str">
        <x:v>/ˈprɒbəbli/</x:v>
      </x:c>
      <x:c r="G634" s="40" t="str">
        <x:v>大概；或许</x:v>
      </x:c>
      <x:c r="H634" s="68"/>
      <x:c r="I634" s="39" t="str">
        <x:v>point</x:v>
      </x:c>
      <x:c r="J634" s="28" t="str"/>
      <x:c r="K634" s="40" t="str">
        <x:v>at 指着……</x:v>
      </x:c>
    </x:row>
    <x:row r="635" ht="20" customHeight="1">
      <x:c r="A635" s="37" t="str">
        <x:v>poor</x:v>
      </x:c>
      <x:c r="B635" s="21" t="str">
        <x:v>/pʊə/</x:v>
      </x:c>
      <x:c r="C635" s="38" t="str">
        <x:v>贫穷的；可怜的；差的</x:v>
      </x:c>
      <x:c r="D635" s="68"/>
      <x:c r="E635" s="37" t="str">
        <x:v>properly</x:v>
      </x:c>
      <x:c r="F635" s="21" t="str">
        <x:v>/ˈprɒpəli/</x:v>
      </x:c>
      <x:c r="G635" s="38" t="str">
        <x:v>适当地；正确地（注：词表中未标，补充）</x:v>
      </x:c>
      <x:c r="H635" s="68"/>
      <x:c r="I635" s="37" t="str">
        <x:v>put</x:v>
      </x:c>
      <x:c r="J635" s="21" t="str"/>
      <x:c r="K635" s="38" t="str">
        <x:v>away 收起；收拾好</x:v>
      </x:c>
    </x:row>
    <x:row r="636" ht="20" customHeight="1">
      <x:c r="A636" s="39" t="str">
        <x:v>popular</x:v>
      </x:c>
      <x:c r="B636" s="28" t="str">
        <x:v>/ˈpɒpjələ/</x:v>
      </x:c>
      <x:c r="C636" s="40" t="str">
        <x:v>流行的；受欢迎的</x:v>
      </x:c>
      <x:c r="D636" s="68"/>
      <x:c r="E636" s="39" t="str">
        <x:v>publicly</x:v>
      </x:c>
      <x:c r="F636" s="28" t="str">
        <x:v>/ˈpʌblɪkli/</x:v>
      </x:c>
      <x:c r="G636" s="40" t="str">
        <x:v>公开地；当众（注：词表中未标，补充）</x:v>
      </x:c>
      <x:c r="H636" s="68"/>
      <x:c r="I636" s="39" t="str">
        <x:v>put</x:v>
      </x:c>
      <x:c r="J636" s="28" t="str"/>
      <x:c r="K636" s="40" t="str">
        <x:v>on 穿上；上演</x:v>
      </x:c>
    </x:row>
    <x:row r="637" ht="20" customHeight="1">
      <x:c r="A637" s="37" t="str">
        <x:v>possible</x:v>
      </x:c>
      <x:c r="B637" s="21" t="str">
        <x:v>/ˈpɒsəbl/</x:v>
      </x:c>
      <x:c r="C637" s="38" t="str">
        <x:v>可能的</x:v>
      </x:c>
      <x:c r="D637" s="68"/>
      <x:c r="E637" s="73" t="str">
        <x:v>介词（3）</x:v>
      </x:c>
      <x:c r="F637" s="68"/>
      <x:c r="G637" s="74"/>
      <x:c r="H637" s="68"/>
      <x:c r="I637" s="37" t="str">
        <x:v>put</x:v>
      </x:c>
      <x:c r="J637" s="21" t="str"/>
      <x:c r="K637" s="38" t="str">
        <x:v>up 张贴；举起；搭建</x:v>
      </x:c>
    </x:row>
    <x:row r="638" ht="20" customHeight="1">
      <x:c r="A638" s="39" t="str">
        <x:v>powerful</x:v>
      </x:c>
      <x:c r="B638" s="28" t="str">
        <x:v>/ˈpaʊəfl/</x:v>
      </x:c>
      <x:c r="C638" s="40" t="str">
        <x:v>强大的；有力的（注：词表中未标，补充）</x:v>
      </x:c>
      <x:c r="D638" s="68"/>
      <x:c r="E638" s="39" t="str">
        <x:v>past</x:v>
      </x:c>
      <x:c r="F638" s="28" t="str">
        <x:v>/pɑːst/</x:v>
      </x:c>
      <x:c r="G638" s="40" t="str">
        <x:v>过；经过</x:v>
      </x:c>
      <x:c r="H638" s="68"/>
      <x:c r="I638" s="75"/>
      <x:c r="J638" s="68"/>
      <x:c r="K638" s="74"/>
    </x:row>
    <x:row r="639" ht="20" customHeight="1">
      <x:c r="A639" s="37" t="str">
        <x:v>practical</x:v>
      </x:c>
      <x:c r="B639" s="21" t="str">
        <x:v>/ˈpræktɪkl/</x:v>
      </x:c>
      <x:c r="C639" s="38" t="str">
        <x:v>实际的；实用的（注：词表中未标，补充）</x:v>
      </x:c>
      <x:c r="D639" s="68"/>
      <x:c r="E639" s="37" t="str">
        <x:v>per</x:v>
      </x:c>
      <x:c r="F639" s="21" t="str">
        <x:v>/pɜː/</x:v>
      </x:c>
      <x:c r="G639" s="38" t="str">
        <x:v>每；每一</x:v>
      </x:c>
      <x:c r="H639" s="68"/>
      <x:c r="I639" s="75"/>
      <x:c r="J639" s="68"/>
      <x:c r="K639" s="74"/>
    </x:row>
    <x:row r="640" ht="20" customHeight="1">
      <x:c r="A640" s="39" t="str">
        <x:v>precious</x:v>
      </x:c>
      <x:c r="B640" s="28" t="str">
        <x:v>/ˈpreʃəs/</x:v>
      </x:c>
      <x:c r="C640" s="40" t="str">
        <x:v>珍贵的（注：词表中未标，补充）</x:v>
      </x:c>
      <x:c r="D640" s="68"/>
      <x:c r="E640" s="39" t="str">
        <x:v>plus</x:v>
      </x:c>
      <x:c r="F640" s="28" t="str">
        <x:v>/plʌs/</x:v>
      </x:c>
      <x:c r="G640" s="40" t="str">
        <x:v>加；加上（注：词表中未标，补充）</x:v>
      </x:c>
      <x:c r="H640" s="68"/>
      <x:c r="I640" s="75"/>
      <x:c r="J640" s="68"/>
      <x:c r="K640" s="74"/>
    </x:row>
    <x:row r="641" ht="17" customHeight="1">
      <x:c r="A641" s="37" t="str">
        <x:v>present</x:v>
      </x:c>
      <x:c r="B641" s="21" t="str">
        <x:v>/ˈpreznt/</x:v>
      </x:c>
      <x:c r="C641" s="38" t="str">
        <x:v>现在的；出席的</x:v>
      </x:c>
      <x:c r="D641" s="68"/>
      <x:c r="E641" s="73" t="str">
        <x:v>代词（1）</x:v>
      </x:c>
      <x:c r="F641" s="68"/>
      <x:c r="G641" s="74"/>
      <x:c r="H641" s="68"/>
      <x:c r="I641" s="75"/>
      <x:c r="J641" s="68"/>
      <x:c r="K641" s="74"/>
    </x:row>
    <x:row r="642" ht="20" customHeight="1">
      <x:c r="A642" s="39" t="str">
        <x:v>pretty</x:v>
      </x:c>
      <x:c r="B642" s="28" t="str">
        <x:v>/ˈprɪti/</x:v>
      </x:c>
      <x:c r="C642" s="40" t="str">
        <x:v>漂亮的；可爱的</x:v>
      </x:c>
      <x:c r="D642" s="68"/>
      <x:c r="E642" s="39" t="str">
        <x:v>无纯代词（personal/private为形容词）</x:v>
      </x:c>
      <x:c r="F642" s="28" t="str"/>
      <x:c r="G642" s="40" t="str"/>
      <x:c r="H642" s="68"/>
      <x:c r="I642" s="75"/>
      <x:c r="J642" s="68"/>
      <x:c r="K642" s="74"/>
    </x:row>
    <x:row r="643" ht="17" customHeight="1">
      <x:c r="A643" s="37" t="str">
        <x:v>primary</x:v>
      </x:c>
      <x:c r="B643" s="21" t="str">
        <x:v>/ˈpraɪməri/</x:v>
      </x:c>
      <x:c r="C643" s="38" t="str">
        <x:v>主要的；首要的；小学的</x:v>
      </x:c>
      <x:c r="D643" s="68"/>
      <x:c r="E643" s="73" t="str">
        <x:v>数词（1）</x:v>
      </x:c>
      <x:c r="F643" s="68"/>
      <x:c r="G643" s="74"/>
      <x:c r="H643" s="68"/>
      <x:c r="I643" s="75"/>
      <x:c r="J643" s="68"/>
      <x:c r="K643" s="74"/>
    </x:row>
    <x:row r="644" ht="20" customHeight="1">
      <x:c r="A644" s="39" t="str">
        <x:v>private</x:v>
      </x:c>
      <x:c r="B644" s="28" t="str">
        <x:v>/ˈpraɪvət/</x:v>
      </x:c>
      <x:c r="C644" s="40" t="str">
        <x:v>私人的；私有的</x:v>
      </x:c>
      <x:c r="D644" s="68"/>
      <x:c r="E644" s="39" t="str">
        <x:v>无纯数词（词表中无P开头数词）</x:v>
      </x:c>
      <x:c r="F644" s="28" t="str"/>
      <x:c r="G644" s="40" t="str"/>
      <x:c r="H644" s="68"/>
      <x:c r="I644" s="75"/>
      <x:c r="J644" s="68"/>
      <x:c r="K644" s="74"/>
    </x:row>
    <x:row r="645" ht="17" customHeight="1">
      <x:c r="A645" s="37" t="str">
        <x:v>probable</x:v>
      </x:c>
      <x:c r="B645" s="21" t="str">
        <x:v>/ˈprɒbəbl/</x:v>
      </x:c>
      <x:c r="C645" s="38" t="str">
        <x:v>可能的；大概的（注：词表中probably为副词，补充形容词）</x:v>
      </x:c>
      <x:c r="D645" s="68"/>
      <x:c r="E645" s="73" t="str">
        <x:v>短语（16）</x:v>
      </x:c>
      <x:c r="F645" s="68"/>
      <x:c r="G645" s="74"/>
      <x:c r="H645" s="68"/>
      <x:c r="I645" s="75"/>
      <x:c r="J645" s="68"/>
      <x:c r="K645" s="74"/>
    </x:row>
    <x:row r="646" ht="20" customHeight="1">
      <x:c r="A646" s="39" t="str">
        <x:v>professional</x:v>
      </x:c>
      <x:c r="B646" s="28" t="str">
        <x:v>/prəˈfeʃənl/</x:v>
      </x:c>
      <x:c r="C646" s="40" t="str">
        <x:v>专业的；职业的（注：词表中未标，补充）</x:v>
      </x:c>
      <x:c r="D646" s="68"/>
      <x:c r="E646" s="39" t="str">
        <x:v>a</x:v>
      </x:c>
      <x:c r="F646" s="28" t="str"/>
      <x:c r="G646" s="40" t="str">
        <x:v>pair of 一双；一对</x:v>
      </x:c>
      <x:c r="H646" s="68"/>
      <x:c r="I646" s="75"/>
      <x:c r="J646" s="68"/>
      <x:c r="K646" s="74"/>
    </x:row>
    <x:row r="647" ht="20" customHeight="1">
      <x:c r="A647" s="41" t="str">
        <x:v>proper</x:v>
      </x:c>
      <x:c r="B647" s="42" t="str">
        <x:v>/ˈprɒpə/</x:v>
      </x:c>
      <x:c r="C647" s="43" t="str">
        <x:v>合适的；恰当的</x:v>
      </x:c>
      <x:c r="D647" s="68"/>
      <x:c r="E647" s="41" t="str">
        <x:v>be</x:v>
      </x:c>
      <x:c r="F647" s="42" t="str"/>
      <x:c r="G647" s="43" t="str">
        <x:v>good at 擅长</x:v>
      </x:c>
      <x:c r="H647" s="68"/>
      <x:c r="I647" s="76"/>
      <x:c r="J647" s="77"/>
      <x:c r="K647" s="78"/>
    </x:row>
    <x:row r="648">
      <x:c r="A648" s="68"/>
      <x:c r="B648" s="68"/>
      <x:c r="C648" s="68"/>
      <x:c r="D648" s="68"/>
      <x:c r="E648" s="68"/>
      <x:c r="F648" s="68"/>
      <x:c r="G648" s="68"/>
      <x:c r="H648" s="68"/>
      <x:c r="I648" s="68"/>
      <x:c r="J648" s="68"/>
      <x:c r="K648" s="68"/>
    </x:row>
    <x:row r="649" ht="27" customHeight="1">
      <x:c r="A649" s="65" t="str">
        <x:v>Q 开头单词</x:v>
      </x:c>
      <x:c r="B649" s="66"/>
      <x:c r="C649" s="67"/>
      <x:c r="D649" s="68"/>
      <x:c r="E649" s="69"/>
      <x:c r="F649" s="66"/>
      <x:c r="G649" s="67"/>
      <x:c r="H649" s="68"/>
      <x:c r="I649" s="69"/>
      <x:c r="J649" s="66"/>
      <x:c r="K649" s="67"/>
    </x:row>
    <x:row r="650" ht="19" customHeight="1">
      <x:c r="A650" s="70" t="str">
        <x:v>英文单词 / 短语</x:v>
      </x:c>
      <x:c r="B650" s="71" t="str">
        <x:v>音标</x:v>
      </x:c>
      <x:c r="C650" s="72" t="str">
        <x:v>中文解释</x:v>
      </x:c>
      <x:c r="D650" s="68"/>
      <x:c r="E650" s="70" t="str">
        <x:v>英文单词 / 短语</x:v>
      </x:c>
      <x:c r="F650" s="71" t="str">
        <x:v>音标</x:v>
      </x:c>
      <x:c r="G650" s="72" t="str">
        <x:v>中文解释</x:v>
      </x:c>
      <x:c r="H650" s="68"/>
      <x:c r="I650" s="70" t="str">
        <x:v>英文单词 / 短语</x:v>
      </x:c>
      <x:c r="J650" s="71" t="str">
        <x:v>音标</x:v>
      </x:c>
      <x:c r="K650" s="72" t="str">
        <x:v>中文解释</x:v>
      </x:c>
    </x:row>
    <x:row r="651" ht="17" customHeight="1">
      <x:c r="A651" s="73" t="str">
        <x:v>名词（2）</x:v>
      </x:c>
      <x:c r="B651" s="68"/>
      <x:c r="C651" s="74"/>
      <x:c r="D651" s="68"/>
      <x:c r="E651" s="75"/>
      <x:c r="F651" s="68"/>
      <x:c r="G651" s="74"/>
      <x:c r="H651" s="68"/>
      <x:c r="I651" s="75"/>
      <x:c r="J651" s="68"/>
      <x:c r="K651" s="74"/>
    </x:row>
    <x:row r="652" ht="20" customHeight="1">
      <x:c r="A652" s="37" t="str">
        <x:v>queen</x:v>
      </x:c>
      <x:c r="B652" s="21" t="str">
        <x:v>/kwiːn/</x:v>
      </x:c>
      <x:c r="C652" s="38" t="str">
        <x:v>女王；王后</x:v>
      </x:c>
      <x:c r="D652" s="68"/>
      <x:c r="E652" s="75"/>
      <x:c r="F652" s="68"/>
      <x:c r="G652" s="74"/>
      <x:c r="H652" s="68"/>
      <x:c r="I652" s="75"/>
      <x:c r="J652" s="68"/>
      <x:c r="K652" s="74"/>
    </x:row>
    <x:row r="653" ht="20" customHeight="1">
      <x:c r="A653" s="39" t="str">
        <x:v>question</x:v>
      </x:c>
      <x:c r="B653" s="28" t="str">
        <x:v>/ˈkwestʃən/</x:v>
      </x:c>
      <x:c r="C653" s="40" t="str">
        <x:v>问题</x:v>
      </x:c>
      <x:c r="D653" s="68"/>
      <x:c r="E653" s="75"/>
      <x:c r="F653" s="68"/>
      <x:c r="G653" s="74"/>
      <x:c r="H653" s="68"/>
      <x:c r="I653" s="75"/>
      <x:c r="J653" s="68"/>
      <x:c r="K653" s="74"/>
    </x:row>
    <x:row r="654" ht="17" customHeight="1">
      <x:c r="A654" s="73" t="str">
        <x:v>动词（1）</x:v>
      </x:c>
      <x:c r="B654" s="68"/>
      <x:c r="C654" s="74"/>
      <x:c r="D654" s="68"/>
      <x:c r="E654" s="75"/>
      <x:c r="F654" s="68"/>
      <x:c r="G654" s="74"/>
      <x:c r="H654" s="68"/>
      <x:c r="I654" s="75"/>
      <x:c r="J654" s="68"/>
      <x:c r="K654" s="74"/>
    </x:row>
    <x:row r="655" ht="20" customHeight="1">
      <x:c r="A655" s="39" t="str">
        <x:v>question</x:v>
      </x:c>
      <x:c r="B655" s="28" t="str">
        <x:v>/ˈkwestʃən/</x:v>
      </x:c>
      <x:c r="C655" s="40" t="str">
        <x:v>提问；质疑</x:v>
      </x:c>
      <x:c r="D655" s="68"/>
      <x:c r="E655" s="75"/>
      <x:c r="F655" s="68"/>
      <x:c r="G655" s="74"/>
      <x:c r="H655" s="68"/>
      <x:c r="I655" s="75"/>
      <x:c r="J655" s="68"/>
      <x:c r="K655" s="74"/>
    </x:row>
    <x:row r="656" ht="17" customHeight="1">
      <x:c r="A656" s="73" t="str">
        <x:v>形容词（1）</x:v>
      </x:c>
      <x:c r="B656" s="68"/>
      <x:c r="C656" s="74"/>
      <x:c r="D656" s="68"/>
      <x:c r="E656" s="75"/>
      <x:c r="F656" s="68"/>
      <x:c r="G656" s="74"/>
      <x:c r="H656" s="68"/>
      <x:c r="I656" s="75"/>
      <x:c r="J656" s="68"/>
      <x:c r="K656" s="74"/>
    </x:row>
    <x:row r="657" ht="20" customHeight="1">
      <x:c r="A657" s="39" t="str">
        <x:v>无纯形容词</x:v>
      </x:c>
      <x:c r="B657" s="28" t="str"/>
      <x:c r="C657" s="40" t="str"/>
      <x:c r="D657" s="68"/>
      <x:c r="E657" s="75"/>
      <x:c r="F657" s="68"/>
      <x:c r="G657" s="74"/>
      <x:c r="H657" s="68"/>
      <x:c r="I657" s="75"/>
      <x:c r="J657" s="68"/>
      <x:c r="K657" s="74"/>
    </x:row>
    <x:row r="658" ht="17" customHeight="1">
      <x:c r="A658" s="73" t="str">
        <x:v>副词（1）</x:v>
      </x:c>
      <x:c r="B658" s="68"/>
      <x:c r="C658" s="74"/>
      <x:c r="D658" s="68"/>
      <x:c r="E658" s="75"/>
      <x:c r="F658" s="68"/>
      <x:c r="G658" s="74"/>
      <x:c r="H658" s="68"/>
      <x:c r="I658" s="75"/>
      <x:c r="J658" s="68"/>
      <x:c r="K658" s="74"/>
    </x:row>
    <x:row r="659" ht="20" customHeight="1">
      <x:c r="A659" s="39" t="str">
        <x:v>quite</x:v>
      </x:c>
      <x:c r="B659" s="28" t="str">
        <x:v>/kwaɪt/</x:v>
      </x:c>
      <x:c r="C659" s="40" t="str">
        <x:v>十分；相当</x:v>
      </x:c>
      <x:c r="D659" s="68"/>
      <x:c r="E659" s="75"/>
      <x:c r="F659" s="68"/>
      <x:c r="G659" s="74"/>
      <x:c r="H659" s="68"/>
      <x:c r="I659" s="75"/>
      <x:c r="J659" s="68"/>
      <x:c r="K659" s="74"/>
    </x:row>
    <x:row r="660" ht="17" customHeight="1">
      <x:c r="A660" s="73" t="str">
        <x:v>介词（1）</x:v>
      </x:c>
      <x:c r="B660" s="68"/>
      <x:c r="C660" s="74"/>
      <x:c r="D660" s="68"/>
      <x:c r="E660" s="75"/>
      <x:c r="F660" s="68"/>
      <x:c r="G660" s="74"/>
      <x:c r="H660" s="68"/>
      <x:c r="I660" s="75"/>
      <x:c r="J660" s="68"/>
      <x:c r="K660" s="74"/>
    </x:row>
    <x:row r="661" ht="20" customHeight="1">
      <x:c r="A661" s="39" t="str">
        <x:v>无纯介词</x:v>
      </x:c>
      <x:c r="B661" s="28" t="str"/>
      <x:c r="C661" s="40" t="str"/>
      <x:c r="D661" s="68"/>
      <x:c r="E661" s="75"/>
      <x:c r="F661" s="68"/>
      <x:c r="G661" s="74"/>
      <x:c r="H661" s="68"/>
      <x:c r="I661" s="75"/>
      <x:c r="J661" s="68"/>
      <x:c r="K661" s="74"/>
    </x:row>
    <x:row r="662" ht="17" customHeight="1">
      <x:c r="A662" s="73" t="str">
        <x:v>代词（1）</x:v>
      </x:c>
      <x:c r="B662" s="68"/>
      <x:c r="C662" s="74"/>
      <x:c r="D662" s="68"/>
      <x:c r="E662" s="75"/>
      <x:c r="F662" s="68"/>
      <x:c r="G662" s="74"/>
      <x:c r="H662" s="68"/>
      <x:c r="I662" s="75"/>
      <x:c r="J662" s="68"/>
      <x:c r="K662" s="74"/>
    </x:row>
    <x:row r="663" ht="20" customHeight="1">
      <x:c r="A663" s="39" t="str">
        <x:v>无纯代词</x:v>
      </x:c>
      <x:c r="B663" s="28" t="str"/>
      <x:c r="C663" s="40" t="str"/>
      <x:c r="D663" s="68"/>
      <x:c r="E663" s="75"/>
      <x:c r="F663" s="68"/>
      <x:c r="G663" s="74"/>
      <x:c r="H663" s="68"/>
      <x:c r="I663" s="75"/>
      <x:c r="J663" s="68"/>
      <x:c r="K663" s="74"/>
    </x:row>
    <x:row r="664" ht="17" customHeight="1">
      <x:c r="A664" s="73" t="str">
        <x:v>数词（1）</x:v>
      </x:c>
      <x:c r="B664" s="68"/>
      <x:c r="C664" s="74"/>
      <x:c r="D664" s="68"/>
      <x:c r="E664" s="75"/>
      <x:c r="F664" s="68"/>
      <x:c r="G664" s="74"/>
      <x:c r="H664" s="68"/>
      <x:c r="I664" s="75"/>
      <x:c r="J664" s="68"/>
      <x:c r="K664" s="74"/>
    </x:row>
    <x:row r="665" ht="20" customHeight="1">
      <x:c r="A665" s="39" t="str">
        <x:v>无纯数词</x:v>
      </x:c>
      <x:c r="B665" s="28" t="str"/>
      <x:c r="C665" s="40" t="str"/>
      <x:c r="D665" s="68"/>
      <x:c r="E665" s="75"/>
      <x:c r="F665" s="68"/>
      <x:c r="G665" s="74"/>
      <x:c r="H665" s="68"/>
      <x:c r="I665" s="75"/>
      <x:c r="J665" s="68"/>
      <x:c r="K665" s="74"/>
    </x:row>
    <x:row r="666">
      <x:c r="A666" s="75"/>
      <x:c r="B666" s="68"/>
      <x:c r="C666" s="74"/>
      <x:c r="D666" s="68"/>
      <x:c r="E666" s="75"/>
      <x:c r="F666" s="68"/>
      <x:c r="G666" s="74"/>
      <x:c r="H666" s="68"/>
      <x:c r="I666" s="75"/>
      <x:c r="J666" s="68"/>
      <x:c r="K666" s="74"/>
    </x:row>
    <x:row r="667">
      <x:c r="A667" s="75"/>
      <x:c r="B667" s="68"/>
      <x:c r="C667" s="74"/>
      <x:c r="D667" s="68"/>
      <x:c r="E667" s="75"/>
      <x:c r="F667" s="68"/>
      <x:c r="G667" s="74"/>
      <x:c r="H667" s="68"/>
      <x:c r="I667" s="75"/>
      <x:c r="J667" s="68"/>
      <x:c r="K667" s="74"/>
    </x:row>
    <x:row r="668">
      <x:c r="A668" s="75"/>
      <x:c r="B668" s="68"/>
      <x:c r="C668" s="74"/>
      <x:c r="D668" s="68"/>
      <x:c r="E668" s="75"/>
      <x:c r="F668" s="68"/>
      <x:c r="G668" s="74"/>
      <x:c r="H668" s="68"/>
      <x:c r="I668" s="75"/>
      <x:c r="J668" s="68"/>
      <x:c r="K668" s="74"/>
    </x:row>
    <x:row r="669">
      <x:c r="A669" s="75"/>
      <x:c r="B669" s="68"/>
      <x:c r="C669" s="74"/>
      <x:c r="D669" s="68"/>
      <x:c r="E669" s="75"/>
      <x:c r="F669" s="68"/>
      <x:c r="G669" s="74"/>
      <x:c r="H669" s="68"/>
      <x:c r="I669" s="75"/>
      <x:c r="J669" s="68"/>
      <x:c r="K669" s="74"/>
    </x:row>
    <x:row r="670">
      <x:c r="A670" s="75"/>
      <x:c r="B670" s="68"/>
      <x:c r="C670" s="74"/>
      <x:c r="D670" s="68"/>
      <x:c r="E670" s="75"/>
      <x:c r="F670" s="68"/>
      <x:c r="G670" s="74"/>
      <x:c r="H670" s="68"/>
      <x:c r="I670" s="75"/>
      <x:c r="J670" s="68"/>
      <x:c r="K670" s="74"/>
    </x:row>
    <x:row r="671">
      <x:c r="A671" s="75"/>
      <x:c r="B671" s="68"/>
      <x:c r="C671" s="74"/>
      <x:c r="D671" s="68"/>
      <x:c r="E671" s="75"/>
      <x:c r="F671" s="68"/>
      <x:c r="G671" s="74"/>
      <x:c r="H671" s="68"/>
      <x:c r="I671" s="75"/>
      <x:c r="J671" s="68"/>
      <x:c r="K671" s="74"/>
    </x:row>
    <x:row r="672">
      <x:c r="A672" s="75"/>
      <x:c r="B672" s="68"/>
      <x:c r="C672" s="74"/>
      <x:c r="D672" s="68"/>
      <x:c r="E672" s="75"/>
      <x:c r="F672" s="68"/>
      <x:c r="G672" s="74"/>
      <x:c r="H672" s="68"/>
      <x:c r="I672" s="75"/>
      <x:c r="J672" s="68"/>
      <x:c r="K672" s="74"/>
    </x:row>
    <x:row r="673">
      <x:c r="A673" s="75"/>
      <x:c r="B673" s="68"/>
      <x:c r="C673" s="74"/>
      <x:c r="D673" s="68"/>
      <x:c r="E673" s="75"/>
      <x:c r="F673" s="68"/>
      <x:c r="G673" s="74"/>
      <x:c r="H673" s="68"/>
      <x:c r="I673" s="75"/>
      <x:c r="J673" s="68"/>
      <x:c r="K673" s="74"/>
    </x:row>
    <x:row r="674">
      <x:c r="A674" s="76"/>
      <x:c r="B674" s="77"/>
      <x:c r="C674" s="78"/>
      <x:c r="D674" s="68"/>
      <x:c r="E674" s="76"/>
      <x:c r="F674" s="77"/>
      <x:c r="G674" s="78"/>
      <x:c r="H674" s="68"/>
      <x:c r="I674" s="76"/>
      <x:c r="J674" s="77"/>
      <x:c r="K674" s="78"/>
    </x:row>
    <x:row r="675">
      <x:c r="A675" s="68"/>
      <x:c r="B675" s="68"/>
      <x:c r="C675" s="68"/>
      <x:c r="D675" s="68"/>
      <x:c r="E675" s="68"/>
      <x:c r="F675" s="68"/>
      <x:c r="G675" s="68"/>
      <x:c r="H675" s="68"/>
      <x:c r="I675" s="68"/>
      <x:c r="J675" s="68"/>
      <x:c r="K675" s="68"/>
    </x:row>
    <x:row r="676" ht="27" customHeight="1">
      <x:c r="A676" s="65" t="str">
        <x:v>R 开头单词</x:v>
      </x:c>
      <x:c r="B676" s="66"/>
      <x:c r="C676" s="67"/>
      <x:c r="D676" s="68"/>
      <x:c r="E676" s="69"/>
      <x:c r="F676" s="66"/>
      <x:c r="G676" s="67"/>
      <x:c r="H676" s="68"/>
      <x:c r="I676" s="69"/>
      <x:c r="J676" s="66"/>
      <x:c r="K676" s="67"/>
    </x:row>
    <x:row r="677" ht="19" customHeight="1">
      <x:c r="A677" s="70" t="str">
        <x:v>英文单词 / 短语</x:v>
      </x:c>
      <x:c r="B677" s="71" t="str">
        <x:v>音标</x:v>
      </x:c>
      <x:c r="C677" s="72" t="str">
        <x:v>中文解释</x:v>
      </x:c>
      <x:c r="D677" s="68"/>
      <x:c r="E677" s="70" t="str">
        <x:v>英文单词 / 短语</x:v>
      </x:c>
      <x:c r="F677" s="71" t="str">
        <x:v>音标</x:v>
      </x:c>
      <x:c r="G677" s="72" t="str">
        <x:v>中文解释</x:v>
      </x:c>
      <x:c r="H677" s="68"/>
      <x:c r="I677" s="70" t="str">
        <x:v>英文单词 / 短语</x:v>
      </x:c>
      <x:c r="J677" s="71" t="str">
        <x:v>音标</x:v>
      </x:c>
      <x:c r="K677" s="72" t="str">
        <x:v>中文解释</x:v>
      </x:c>
    </x:row>
    <x:row r="678" ht="20" customHeight="1">
      <x:c r="A678" s="73" t="str">
        <x:v>名词（21）</x:v>
      </x:c>
      <x:c r="B678" s="68"/>
      <x:c r="C678" s="74"/>
      <x:c r="D678" s="68"/>
      <x:c r="E678" s="39" t="str">
        <x:v>reach</x:v>
      </x:c>
      <x:c r="F678" s="28" t="str">
        <x:v>/riːtʃ/</x:v>
      </x:c>
      <x:c r="G678" s="40" t="str">
        <x:v>到达；抵达</x:v>
      </x:c>
      <x:c r="H678" s="68"/>
      <x:c r="I678" s="39" t="str">
        <x:v>round</x:v>
      </x:c>
      <x:c r="J678" s="28" t="str">
        <x:v>/raʊnd/</x:v>
      </x:c>
      <x:c r="K678" s="40" t="str">
        <x:v>圆的；球形的</x:v>
      </x:c>
    </x:row>
    <x:row r="679" ht="20" customHeight="1">
      <x:c r="A679" s="37" t="str">
        <x:v>rabbit</x:v>
      </x:c>
      <x:c r="B679" s="21" t="str">
        <x:v>/ˈræbɪt/</x:v>
      </x:c>
      <x:c r="C679" s="38" t="str">
        <x:v>兔；家兔</x:v>
      </x:c>
      <x:c r="D679" s="68"/>
      <x:c r="E679" s="37" t="str">
        <x:v>read</x:v>
      </x:c>
      <x:c r="F679" s="21" t="str">
        <x:v>/riːd/</x:v>
      </x:c>
      <x:c r="G679" s="38" t="str">
        <x:v>阅读；看懂</x:v>
      </x:c>
      <x:c r="H679" s="68"/>
      <x:c r="I679" s="37" t="str">
        <x:v>rude</x:v>
      </x:c>
      <x:c r="J679" s="21" t="str">
        <x:v>/ruːd/</x:v>
      </x:c>
      <x:c r="K679" s="38" t="str">
        <x:v>粗鲁的；无礼的</x:v>
      </x:c>
    </x:row>
    <x:row r="680" ht="20" customHeight="1">
      <x:c r="A680" s="39" t="str">
        <x:v>race</x:v>
      </x:c>
      <x:c r="B680" s="28" t="str">
        <x:v>/reɪs/</x:v>
      </x:c>
      <x:c r="C680" s="40" t="str">
        <x:v>赛跑；比赛</x:v>
      </x:c>
      <x:c r="D680" s="68"/>
      <x:c r="E680" s="39" t="str">
        <x:v>receive</x:v>
      </x:c>
      <x:c r="F680" s="28" t="str">
        <x:v>/rɪˈsiːv/</x:v>
      </x:c>
      <x:c r="G680" s="40" t="str">
        <x:v>收到；接到</x:v>
      </x:c>
      <x:c r="H680" s="68"/>
      <x:c r="I680" s="39" t="str">
        <x:v>Russian</x:v>
      </x:c>
      <x:c r="J680" s="28" t="str">
        <x:v>/ˈrʌʃn/</x:v>
      </x:c>
      <x:c r="K680" s="40" t="str">
        <x:v>俄罗斯的；俄语的</x:v>
      </x:c>
    </x:row>
    <x:row r="681" ht="17" customHeight="1">
      <x:c r="A681" s="37" t="str">
        <x:v>radio</x:v>
      </x:c>
      <x:c r="B681" s="21" t="str">
        <x:v>/ˈreɪdiəʊ/</x:v>
      </x:c>
      <x:c r="C681" s="38" t="str">
        <x:v>电台；广播</x:v>
      </x:c>
      <x:c r="D681" s="68"/>
      <x:c r="E681" s="37" t="str">
        <x:v>refuse</x:v>
      </x:c>
      <x:c r="F681" s="21" t="str">
        <x:v>/rɪˈfjuːz/</x:v>
      </x:c>
      <x:c r="G681" s="38" t="str">
        <x:v>拒绝</x:v>
      </x:c>
      <x:c r="H681" s="68"/>
      <x:c r="I681" s="73" t="str">
        <x:v>副词（2）</x:v>
      </x:c>
      <x:c r="J681" s="68"/>
      <x:c r="K681" s="74"/>
    </x:row>
    <x:row r="682" ht="20" customHeight="1">
      <x:c r="A682" s="39" t="str">
        <x:v>railway</x:v>
      </x:c>
      <x:c r="B682" s="28" t="str">
        <x:v>/ˈreɪlweɪ/</x:v>
      </x:c>
      <x:c r="C682" s="40" t="str">
        <x:v>铁路</x:v>
      </x:c>
      <x:c r="D682" s="68"/>
      <x:c r="E682" s="39" t="str">
        <x:v>regret</x:v>
      </x:c>
      <x:c r="F682" s="28" t="str">
        <x:v>/rɪˈɡret/</x:v>
      </x:c>
      <x:c r="G682" s="40" t="str">
        <x:v>懊悔；遗憾</x:v>
      </x:c>
      <x:c r="H682" s="68"/>
      <x:c r="I682" s="39" t="str">
        <x:v>really</x:v>
      </x:c>
      <x:c r="J682" s="28" t="str">
        <x:v>/ˈriːəli/</x:v>
      </x:c>
      <x:c r="K682" s="40" t="str">
        <x:v>真正地；确实</x:v>
      </x:c>
    </x:row>
    <x:row r="683" ht="20" customHeight="1">
      <x:c r="A683" s="37" t="str">
        <x:v>rain</x:v>
      </x:c>
      <x:c r="B683" s="21" t="str">
        <x:v>/reɪn/</x:v>
      </x:c>
      <x:c r="C683" s="38" t="str">
        <x:v>雨；雨水</x:v>
      </x:c>
      <x:c r="D683" s="68"/>
      <x:c r="E683" s="37" t="str">
        <x:v>relax</x:v>
      </x:c>
      <x:c r="F683" s="21" t="str">
        <x:v>/rɪˈlæks/</x:v>
      </x:c>
      <x:c r="G683" s="38" t="str">
        <x:v>放松；休息</x:v>
      </x:c>
      <x:c r="H683" s="68"/>
      <x:c r="I683" s="37" t="str">
        <x:v>right</x:v>
      </x:c>
      <x:c r="J683" s="21" t="str">
        <x:v>/raɪt/</x:v>
      </x:c>
      <x:c r="K683" s="38" t="str">
        <x:v>正好；恰好；正确地</x:v>
      </x:c>
    </x:row>
    <x:row r="684" ht="17" customHeight="1">
      <x:c r="A684" s="39" t="str">
        <x:v>reason</x:v>
      </x:c>
      <x:c r="B684" s="28" t="str">
        <x:v>/ˈriːzn/</x:v>
      </x:c>
      <x:c r="C684" s="40" t="str">
        <x:v>原因；理由</x:v>
      </x:c>
      <x:c r="D684" s="68"/>
      <x:c r="E684" s="39" t="str">
        <x:v>remember</x:v>
      </x:c>
      <x:c r="F684" s="28" t="str">
        <x:v>/rɪˈmembə/</x:v>
      </x:c>
      <x:c r="G684" s="40" t="str">
        <x:v>记得；想起</x:v>
      </x:c>
      <x:c r="H684" s="68"/>
      <x:c r="I684" s="73" t="str">
        <x:v>介词（2）</x:v>
      </x:c>
      <x:c r="J684" s="68"/>
      <x:c r="K684" s="74"/>
    </x:row>
    <x:row r="685" ht="20" customHeight="1">
      <x:c r="A685" s="37" t="str">
        <x:v>record</x:v>
      </x:c>
      <x:c r="B685" s="21" t="str">
        <x:v>/ˈrekɔːd/</x:v>
      </x:c>
      <x:c r="C685" s="38" t="str">
        <x:v>记录；唱片</x:v>
      </x:c>
      <x:c r="D685" s="68"/>
      <x:c r="E685" s="37" t="str">
        <x:v>report</x:v>
      </x:c>
      <x:c r="F685" s="21" t="str">
        <x:v>/rɪˈpɔːt/</x:v>
      </x:c>
      <x:c r="G685" s="38" t="str">
        <x:v>报道；报告</x:v>
      </x:c>
      <x:c r="H685" s="68"/>
      <x:c r="I685" s="37" t="str">
        <x:v>round</x:v>
      </x:c>
      <x:c r="J685" s="21" t="str">
        <x:v>/raʊnd/</x:v>
      </x:c>
      <x:c r="K685" s="38" t="str">
        <x:v>围绕；环绕</x:v>
      </x:c>
    </x:row>
    <x:row r="686" ht="20" customHeight="1">
      <x:c r="A686" s="39" t="str">
        <x:v>report</x:v>
      </x:c>
      <x:c r="B686" s="28" t="str">
        <x:v>/rɪˈpɔːt/</x:v>
      </x:c>
      <x:c r="C686" s="40" t="str">
        <x:v>报告；汇报</x:v>
      </x:c>
      <x:c r="D686" s="68"/>
      <x:c r="E686" s="39" t="str">
        <x:v>rest</x:v>
      </x:c>
      <x:c r="F686" s="28" t="str">
        <x:v>/rest/</x:v>
      </x:c>
      <x:c r="G686" s="40" t="str">
        <x:v>休息；歇息</x:v>
      </x:c>
      <x:c r="H686" s="68"/>
      <x:c r="I686" s="39" t="str">
        <x:v>right</x:v>
      </x:c>
      <x:c r="J686" s="28" t="str">
        <x:v>/raɪt/</x:v>
      </x:c>
      <x:c r="K686" s="40" t="str">
        <x:v>向右边</x:v>
      </x:c>
    </x:row>
    <x:row r="687" ht="17" customHeight="1">
      <x:c r="A687" s="37" t="str">
        <x:v>research</x:v>
      </x:c>
      <x:c r="B687" s="21" t="str">
        <x:v>/rɪˈsɜːtʃ/</x:v>
      </x:c>
      <x:c r="C687" s="38" t="str">
        <x:v>研究；调查</x:v>
      </x:c>
      <x:c r="D687" s="68"/>
      <x:c r="E687" s="37" t="str">
        <x:v>return</x:v>
      </x:c>
      <x:c r="F687" s="21" t="str">
        <x:v>/rɪˈtɜːn/</x:v>
      </x:c>
      <x:c r="G687" s="38" t="str">
        <x:v>返回；归还</x:v>
      </x:c>
      <x:c r="H687" s="68"/>
      <x:c r="I687" s="73" t="str">
        <x:v>短语（10）</x:v>
      </x:c>
      <x:c r="J687" s="68"/>
      <x:c r="K687" s="74"/>
    </x:row>
    <x:row r="688" ht="20" customHeight="1">
      <x:c r="A688" s="39" t="str">
        <x:v>rest</x:v>
      </x:c>
      <x:c r="B688" s="28" t="str">
        <x:v>/rest/</x:v>
      </x:c>
      <x:c r="C688" s="40" t="str">
        <x:v>休息；剩余部分</x:v>
      </x:c>
      <x:c r="D688" s="68"/>
      <x:c r="E688" s="39" t="str">
        <x:v>ride</x:v>
      </x:c>
      <x:c r="F688" s="28" t="str">
        <x:v>/raɪd/</x:v>
      </x:c>
      <x:c r="G688" s="40" t="str">
        <x:v>骑（车/马）；乘</x:v>
      </x:c>
      <x:c r="H688" s="68"/>
      <x:c r="I688" s="39" t="str">
        <x:v>as</x:v>
      </x:c>
      <x:c r="J688" s="28" t="str"/>
      <x:c r="K688" s="40" t="str">
        <x:v>a result 结果；因此</x:v>
      </x:c>
    </x:row>
    <x:row r="689" ht="20" customHeight="1">
      <x:c r="A689" s="37" t="str">
        <x:v>right</x:v>
      </x:c>
      <x:c r="B689" s="21" t="str">
        <x:v>/raɪt/</x:v>
      </x:c>
      <x:c r="C689" s="38" t="str">
        <x:v>右边；正确</x:v>
      </x:c>
      <x:c r="D689" s="68"/>
      <x:c r="E689" s="37" t="str">
        <x:v>risk</x:v>
      </x:c>
      <x:c r="F689" s="21" t="str">
        <x:v>/rɪsk/</x:v>
      </x:c>
      <x:c r="G689" s="38" t="str">
        <x:v>冒……的风险</x:v>
      </x:c>
      <x:c r="H689" s="68"/>
      <x:c r="I689" s="37" t="str">
        <x:v>be</x:v>
      </x:c>
      <x:c r="J689" s="21" t="str"/>
      <x:c r="K689" s="38" t="str">
        <x:v>ready to do sth. 乐于做某事</x:v>
      </x:c>
    </x:row>
    <x:row r="690" ht="20" customHeight="1">
      <x:c r="A690" s="39" t="str">
        <x:v>risk</x:v>
      </x:c>
      <x:c r="B690" s="28" t="str">
        <x:v>/rɪsk/</x:v>
      </x:c>
      <x:c r="C690" s="40" t="str">
        <x:v>危险；风险</x:v>
      </x:c>
      <x:c r="D690" s="68"/>
      <x:c r="E690" s="39" t="str">
        <x:v>rise</x:v>
      </x:c>
      <x:c r="F690" s="28" t="str">
        <x:v>/raɪz/</x:v>
      </x:c>
      <x:c r="G690" s="40" t="str">
        <x:v>上升；升起</x:v>
      </x:c>
      <x:c r="H690" s="68"/>
      <x:c r="I690" s="39" t="str">
        <x:v>be</x:v>
      </x:c>
      <x:c r="J690" s="28" t="str"/>
      <x:c r="K690" s="40" t="str">
        <x:v>ready for 为……做好准备</x:v>
      </x:c>
    </x:row>
    <x:row r="691" ht="20" customHeight="1">
      <x:c r="A691" s="37" t="str">
        <x:v>river</x:v>
      </x:c>
      <x:c r="B691" s="21" t="str">
        <x:v>/ˈrɪvə/</x:v>
      </x:c>
      <x:c r="C691" s="38" t="str">
        <x:v>河；江</x:v>
      </x:c>
      <x:c r="D691" s="68"/>
      <x:c r="E691" s="37" t="str">
        <x:v>round</x:v>
      </x:c>
      <x:c r="F691" s="21" t="str">
        <x:v>/raʊnd/</x:v>
      </x:c>
      <x:c r="G691" s="38" t="str">
        <x:v>围绕；环绕</x:v>
      </x:c>
      <x:c r="H691" s="68"/>
      <x:c r="I691" s="37" t="str">
        <x:v>in</x:v>
      </x:c>
      <x:c r="J691" s="21" t="str"/>
      <x:c r="K691" s="38" t="str">
        <x:v>the right way 用正确的方式</x:v>
      </x:c>
    </x:row>
    <x:row r="692" ht="20" customHeight="1">
      <x:c r="A692" s="39" t="str">
        <x:v>road</x:v>
      </x:c>
      <x:c r="B692" s="28" t="str">
        <x:v>/rəʊd/</x:v>
      </x:c>
      <x:c r="C692" s="40" t="str">
        <x:v>路；道路；公路</x:v>
      </x:c>
      <x:c r="D692" s="68"/>
      <x:c r="E692" s="73" t="str">
        <x:v>形容词（12）</x:v>
      </x:c>
      <x:c r="F692" s="68"/>
      <x:c r="G692" s="74"/>
      <x:c r="H692" s="68"/>
      <x:c r="I692" s="39" t="str">
        <x:v>on</x:v>
      </x:c>
      <x:c r="J692" s="28" t="str"/>
      <x:c r="K692" s="40" t="str">
        <x:v>the right 在右边</x:v>
      </x:c>
    </x:row>
    <x:row r="693" ht="20" customHeight="1">
      <x:c r="A693" s="37" t="str">
        <x:v>robot</x:v>
      </x:c>
      <x:c r="B693" s="21" t="str">
        <x:v>/ˈrəʊbɒt/</x:v>
      </x:c>
      <x:c r="C693" s="38" t="str">
        <x:v>机器人</x:v>
      </x:c>
      <x:c r="D693" s="68"/>
      <x:c r="E693" s="37" t="str">
        <x:v>rainy</x:v>
      </x:c>
      <x:c r="F693" s="21" t="str">
        <x:v>/ˈreɪni/</x:v>
      </x:c>
      <x:c r="G693" s="38" t="str">
        <x:v>多雨的；下雨的</x:v>
      </x:c>
      <x:c r="H693" s="68"/>
      <x:c r="I693" s="37" t="str">
        <x:v>read</x:v>
      </x:c>
      <x:c r="J693" s="21" t="str"/>
      <x:c r="K693" s="38" t="str">
        <x:v>a book 读书</x:v>
      </x:c>
    </x:row>
    <x:row r="694" ht="20" customHeight="1">
      <x:c r="A694" s="39" t="str">
        <x:v>rock</x:v>
      </x:c>
      <x:c r="B694" s="28" t="str">
        <x:v>/rɒk/</x:v>
      </x:c>
      <x:c r="C694" s="40" t="str">
        <x:v>岩石；石块</x:v>
      </x:c>
      <x:c r="D694" s="68"/>
      <x:c r="E694" s="39" t="str">
        <x:v>rapid</x:v>
      </x:c>
      <x:c r="F694" s="28" t="str">
        <x:v>/ˈræpɪd/</x:v>
      </x:c>
      <x:c r="G694" s="40" t="str">
        <x:v>迅速的；快速的</x:v>
      </x:c>
      <x:c r="H694" s="68"/>
      <x:c r="I694" s="39" t="str">
        <x:v>ride</x:v>
      </x:c>
      <x:c r="J694" s="28" t="str"/>
      <x:c r="K694" s="40" t="str">
        <x:v>a bike 骑自行车</x:v>
      </x:c>
    </x:row>
    <x:row r="695" ht="20" customHeight="1">
      <x:c r="A695" s="37" t="str">
        <x:v>rose</x:v>
      </x:c>
      <x:c r="B695" s="21" t="str">
        <x:v>/rəʊz/</x:v>
      </x:c>
      <x:c r="C695" s="38" t="str">
        <x:v>玫瑰；蔷薇</x:v>
      </x:c>
      <x:c r="D695" s="68"/>
      <x:c r="E695" s="37" t="str">
        <x:v>ready</x:v>
      </x:c>
      <x:c r="F695" s="21" t="str">
        <x:v>/ˈredi/</x:v>
      </x:c>
      <x:c r="G695" s="38" t="str">
        <x:v>准备好的；乐意的</x:v>
      </x:c>
      <x:c r="H695" s="68"/>
      <x:c r="I695" s="37" t="str">
        <x:v>rise</x:v>
      </x:c>
      <x:c r="J695" s="21" t="str"/>
      <x:c r="K695" s="38" t="str">
        <x:v>up 升起；上升</x:v>
      </x:c>
    </x:row>
    <x:row r="696" ht="20" customHeight="1">
      <x:c r="A696" s="39" t="str">
        <x:v>rubbish</x:v>
      </x:c>
      <x:c r="B696" s="28" t="str">
        <x:v>/ˈrʌbɪʃ/</x:v>
      </x:c>
      <x:c r="C696" s="40" t="str">
        <x:v>垃圾；废弃物</x:v>
      </x:c>
      <x:c r="D696" s="68"/>
      <x:c r="E696" s="39" t="str">
        <x:v>real</x:v>
      </x:c>
      <x:c r="F696" s="28" t="str">
        <x:v>/riːəl/</x:v>
      </x:c>
      <x:c r="G696" s="40" t="str">
        <x:v>真实的；真正的</x:v>
      </x:c>
      <x:c r="H696" s="68"/>
      <x:c r="I696" s="39" t="str">
        <x:v>round</x:v>
      </x:c>
      <x:c r="J696" s="28" t="str"/>
      <x:c r="K696" s="40" t="str">
        <x:v>the corner 在拐角处；即将来临</x:v>
      </x:c>
    </x:row>
    <x:row r="697" ht="20" customHeight="1">
      <x:c r="A697" s="37" t="str">
        <x:v>rule</x:v>
      </x:c>
      <x:c r="B697" s="21" t="str">
        <x:v>/ruːl/</x:v>
      </x:c>
      <x:c r="C697" s="38" t="str">
        <x:v>规则；规章</x:v>
      </x:c>
      <x:c r="D697" s="68"/>
      <x:c r="E697" s="37" t="str">
        <x:v>relaxing</x:v>
      </x:c>
      <x:c r="F697" s="21" t="str">
        <x:v>/rɪˈlæksɪŋ/</x:v>
      </x:c>
      <x:c r="G697" s="38" t="str">
        <x:v>令人放松的；轻松的</x:v>
      </x:c>
      <x:c r="H697" s="68"/>
      <x:c r="I697" s="37" t="str">
        <x:v>rule</x:v>
      </x:c>
      <x:c r="J697" s="21" t="str"/>
      <x:c r="K697" s="38" t="str">
        <x:v>out 排除</x:v>
      </x:c>
    </x:row>
    <x:row r="698" ht="20" customHeight="1">
      <x:c r="A698" s="39" t="str">
        <x:v>Russia</x:v>
      </x:c>
      <x:c r="B698" s="28" t="str">
        <x:v>/ˈrʌʃə/</x:v>
      </x:c>
      <x:c r="C698" s="40" t="str">
        <x:v>俄罗斯</x:v>
      </x:c>
      <x:c r="D698" s="68"/>
      <x:c r="E698" s="39" t="str">
        <x:v>right</x:v>
      </x:c>
      <x:c r="F698" s="28" t="str">
        <x:v>/raɪt/</x:v>
      </x:c>
      <x:c r="G698" s="40" t="str">
        <x:v>正确的；右边的</x:v>
      </x:c>
      <x:c r="H698" s="68"/>
      <x:c r="I698" s="75"/>
      <x:c r="J698" s="68"/>
      <x:c r="K698" s="74"/>
    </x:row>
    <x:row r="699" ht="20" customHeight="1">
      <x:c r="A699" s="37" t="str">
        <x:v>Russian</x:v>
      </x:c>
      <x:c r="B699" s="21" t="str">
        <x:v>/ˈrʌʃn/</x:v>
      </x:c>
      <x:c r="C699" s="38" t="str">
        <x:v>俄罗斯人；俄语</x:v>
      </x:c>
      <x:c r="D699" s="68"/>
      <x:c r="E699" s="37" t="str">
        <x:v>rich</x:v>
      </x:c>
      <x:c r="F699" s="21" t="str">
        <x:v>/rɪtʃ/</x:v>
      </x:c>
      <x:c r="G699" s="38" t="str">
        <x:v>富有的；肥沃的</x:v>
      </x:c>
      <x:c r="H699" s="68"/>
      <x:c r="I699" s="75"/>
      <x:c r="J699" s="68"/>
      <x:c r="K699" s="74"/>
    </x:row>
    <x:row r="700" ht="20" customHeight="1">
      <x:c r="A700" s="73" t="str">
        <x:v>动词（15）</x:v>
      </x:c>
      <x:c r="B700" s="68"/>
      <x:c r="C700" s="74"/>
      <x:c r="D700" s="68"/>
      <x:c r="E700" s="39" t="str">
        <x:v>rose</x:v>
      </x:c>
      <x:c r="F700" s="28" t="str">
        <x:v>/rəʊz/</x:v>
      </x:c>
      <x:c r="G700" s="40" t="str">
        <x:v>玫瑰色的；粉红色的</x:v>
      </x:c>
      <x:c r="H700" s="68"/>
      <x:c r="I700" s="75"/>
      <x:c r="J700" s="68"/>
      <x:c r="K700" s="74"/>
    </x:row>
    <x:row r="701" ht="20" customHeight="1">
      <x:c r="A701" s="41" t="str">
        <x:v>rain</x:v>
      </x:c>
      <x:c r="B701" s="42" t="str">
        <x:v>/reɪn/</x:v>
      </x:c>
      <x:c r="C701" s="43" t="str">
        <x:v>下雨</x:v>
      </x:c>
      <x:c r="D701" s="68"/>
      <x:c r="E701" s="41" t="str">
        <x:v>rough</x:v>
      </x:c>
      <x:c r="F701" s="42" t="str">
        <x:v>/rʌf/</x:v>
      </x:c>
      <x:c r="G701" s="43" t="str">
        <x:v>粗糙的；不平的</x:v>
      </x:c>
      <x:c r="H701" s="68"/>
      <x:c r="I701" s="76"/>
      <x:c r="J701" s="77"/>
      <x:c r="K701" s="78"/>
    </x:row>
    <x:row r="702">
      <x:c r="A702" s="68"/>
      <x:c r="B702" s="68"/>
      <x:c r="C702" s="68"/>
      <x:c r="D702" s="68"/>
      <x:c r="E702" s="68"/>
      <x:c r="F702" s="68"/>
      <x:c r="G702" s="68"/>
      <x:c r="H702" s="68"/>
      <x:c r="I702" s="68"/>
      <x:c r="J702" s="68"/>
      <x:c r="K702" s="68"/>
    </x:row>
    <x:row r="703" ht="27" customHeight="1">
      <x:c r="A703" s="65" t="str">
        <x:v>S 开头单词（1/4）</x:v>
      </x:c>
      <x:c r="B703" s="66"/>
      <x:c r="C703" s="67"/>
      <x:c r="D703" s="68"/>
      <x:c r="E703" s="69"/>
      <x:c r="F703" s="66"/>
      <x:c r="G703" s="67"/>
      <x:c r="H703" s="68"/>
      <x:c r="I703" s="69"/>
      <x:c r="J703" s="66"/>
      <x:c r="K703" s="67"/>
    </x:row>
    <x:row r="704" ht="19" customHeight="1">
      <x:c r="A704" s="70" t="str">
        <x:v>英文单词 / 短语</x:v>
      </x:c>
      <x:c r="B704" s="71" t="str">
        <x:v>音标</x:v>
      </x:c>
      <x:c r="C704" s="72" t="str">
        <x:v>中文解释</x:v>
      </x:c>
      <x:c r="D704" s="68"/>
      <x:c r="E704" s="70" t="str">
        <x:v>英文单词 / 短语</x:v>
      </x:c>
      <x:c r="F704" s="71" t="str">
        <x:v>音标</x:v>
      </x:c>
      <x:c r="G704" s="72" t="str">
        <x:v>中文解释</x:v>
      </x:c>
      <x:c r="H704" s="68"/>
      <x:c r="I704" s="70" t="str">
        <x:v>英文单词 / 短语</x:v>
      </x:c>
      <x:c r="J704" s="71" t="str">
        <x:v>音标</x:v>
      </x:c>
      <x:c r="K704" s="72" t="str">
        <x:v>中文解释</x:v>
      </x:c>
    </x:row>
    <x:row r="705" ht="20" customHeight="1">
      <x:c r="A705" s="73" t="str">
        <x:v>名词（101）</x:v>
      </x:c>
      <x:c r="B705" s="68"/>
      <x:c r="C705" s="74"/>
      <x:c r="D705" s="68"/>
      <x:c r="E705" s="39" t="str">
        <x:v>shower</x:v>
      </x:c>
      <x:c r="F705" s="28" t="str">
        <x:v>/ˈʃaʊə(r)/</x:v>
      </x:c>
      <x:c r="G705" s="40" t="str">
        <x:v>阵雨；淋浴</x:v>
      </x:c>
      <x:c r="H705" s="68"/>
      <x:c r="I705" s="39" t="str">
        <x:v>song</x:v>
      </x:c>
      <x:c r="J705" s="28" t="str">
        <x:v>/sɒŋ/</x:v>
      </x:c>
      <x:c r="K705" s="40" t="str">
        <x:v>歌曲</x:v>
      </x:c>
    </x:row>
    <x:row r="706" ht="20" customHeight="1">
      <x:c r="A706" s="37" t="str">
        <x:v>sausage</x:v>
      </x:c>
      <x:c r="B706" s="21" t="str">
        <x:v>/ˈsɒsɪdʒ/</x:v>
      </x:c>
      <x:c r="C706" s="38" t="str">
        <x:v>香肠；腊肠</x:v>
      </x:c>
      <x:c r="D706" s="68"/>
      <x:c r="E706" s="37" t="str">
        <x:v>side</x:v>
      </x:c>
      <x:c r="F706" s="21" t="str">
        <x:v>/saɪd/</x:v>
      </x:c>
      <x:c r="G706" s="38" t="str">
        <x:v>边；侧</x:v>
      </x:c>
      <x:c r="H706" s="68"/>
      <x:c r="I706" s="37" t="str">
        <x:v>sound</x:v>
      </x:c>
      <x:c r="J706" s="21" t="str">
        <x:v>/saʊnd/</x:v>
      </x:c>
      <x:c r="K706" s="38" t="str">
        <x:v>声音；声响</x:v>
      </x:c>
    </x:row>
    <x:row r="707" ht="20" customHeight="1">
      <x:c r="A707" s="39" t="str">
        <x:v>sandwich</x:v>
      </x:c>
      <x:c r="B707" s="28" t="str">
        <x:v>/ˈsænwɪtʃ/</x:v>
      </x:c>
      <x:c r="C707" s="40" t="str">
        <x:v>三明治；夹心面包片</x:v>
      </x:c>
      <x:c r="D707" s="68"/>
      <x:c r="E707" s="39" t="str">
        <x:v>sign</x:v>
      </x:c>
      <x:c r="F707" s="28" t="str">
        <x:v>/saɪn/</x:v>
      </x:c>
      <x:c r="G707" s="40" t="str">
        <x:v>标志；信号</x:v>
      </x:c>
      <x:c r="H707" s="68"/>
      <x:c r="I707" s="39" t="str">
        <x:v>soup</x:v>
      </x:c>
      <x:c r="J707" s="28" t="str">
        <x:v>/suːp/</x:v>
      </x:c>
      <x:c r="K707" s="40" t="str">
        <x:v>汤</x:v>
      </x:c>
    </x:row>
    <x:row r="708" ht="20" customHeight="1">
      <x:c r="A708" s="37" t="str">
        <x:v>salt</x:v>
      </x:c>
      <x:c r="B708" s="21" t="str">
        <x:v>/sɔːlt/</x:v>
      </x:c>
      <x:c r="C708" s="38" t="str">
        <x:v>盐；食盐</x:v>
      </x:c>
      <x:c r="D708" s="68"/>
      <x:c r="E708" s="37" t="str">
        <x:v>silence</x:v>
      </x:c>
      <x:c r="F708" s="21" t="str">
        <x:v>/ˈsaɪləns/</x:v>
      </x:c>
      <x:c r="G708" s="38" t="str">
        <x:v>寂静；无声</x:v>
      </x:c>
      <x:c r="H708" s="68"/>
      <x:c r="I708" s="37" t="str">
        <x:v>space</x:v>
      </x:c>
      <x:c r="J708" s="21" t="str">
        <x:v>/speɪs/</x:v>
      </x:c>
      <x:c r="K708" s="38" t="str">
        <x:v>太空；空间</x:v>
      </x:c>
    </x:row>
    <x:row r="709" ht="20" customHeight="1">
      <x:c r="A709" s="39" t="str">
        <x:v>science</x:v>
      </x:c>
      <x:c r="B709" s="28" t="str">
        <x:v>/ˈsaɪəns/</x:v>
      </x:c>
      <x:c r="C709" s="40" t="str">
        <x:v>科学</x:v>
      </x:c>
      <x:c r="D709" s="68"/>
      <x:c r="E709" s="39" t="str">
        <x:v>silk</x:v>
      </x:c>
      <x:c r="F709" s="28" t="str">
        <x:v>/sɪlk/</x:v>
      </x:c>
      <x:c r="G709" s="40" t="str">
        <x:v>丝绸</x:v>
      </x:c>
      <x:c r="H709" s="68"/>
      <x:c r="I709" s="39" t="str">
        <x:v>spaceship</x:v>
      </x:c>
      <x:c r="J709" s="28" t="str">
        <x:v>/ˈspeɪsʃɪp/</x:v>
      </x:c>
      <x:c r="K709" s="40" t="str">
        <x:v>宇宙飞船</x:v>
      </x:c>
    </x:row>
    <x:row r="710" ht="20" customHeight="1">
      <x:c r="A710" s="37" t="str">
        <x:v>scientist</x:v>
      </x:c>
      <x:c r="B710" s="21" t="str">
        <x:v>/ˈsaɪəntɪst/</x:v>
      </x:c>
      <x:c r="C710" s="38" t="str">
        <x:v>科学家</x:v>
      </x:c>
      <x:c r="D710" s="68"/>
      <x:c r="E710" s="37" t="str">
        <x:v>silver</x:v>
      </x:c>
      <x:c r="F710" s="21" t="str">
        <x:v>/ˈsɪlvə(r)/</x:v>
      </x:c>
      <x:c r="G710" s="38" t="str">
        <x:v>银；银器</x:v>
      </x:c>
      <x:c r="H710" s="68"/>
      <x:c r="I710" s="37" t="str">
        <x:v>spare</x:v>
      </x:c>
      <x:c r="J710" s="21" t="str">
        <x:v>/speə(r)/</x:v>
      </x:c>
      <x:c r="K710" s="38" t="str">
        <x:v>多余的；空闲的（兼作形容词）</x:v>
      </x:c>
    </x:row>
    <x:row r="711" ht="20" customHeight="1">
      <x:c r="A711" s="39" t="str">
        <x:v>scarf</x:v>
      </x:c>
      <x:c r="B711" s="28" t="str">
        <x:v>/skɑːf/</x:v>
      </x:c>
      <x:c r="C711" s="40" t="str">
        <x:v>围巾</x:v>
      </x:c>
      <x:c r="D711" s="68"/>
      <x:c r="E711" s="39" t="str">
        <x:v>site</x:v>
      </x:c>
      <x:c r="F711" s="28" t="str">
        <x:v>/saɪt/</x:v>
      </x:c>
      <x:c r="G711" s="40" t="str">
        <x:v>地点；位置</x:v>
      </x:c>
      <x:c r="H711" s="68"/>
      <x:c r="I711" s="39" t="str">
        <x:v>speak</x:v>
      </x:c>
      <x:c r="J711" s="28" t="str">
        <x:v>/spiːk/</x:v>
      </x:c>
      <x:c r="K711" s="40" t="str">
        <x:v>说话；讲话（兼作动词）</x:v>
      </x:c>
    </x:row>
    <x:row r="712" ht="20" customHeight="1">
      <x:c r="A712" s="37" t="str">
        <x:v>school</x:v>
      </x:c>
      <x:c r="B712" s="21" t="str">
        <x:v>/skuːl/</x:v>
      </x:c>
      <x:c r="C712" s="38" t="str">
        <x:v>学校</x:v>
      </x:c>
      <x:c r="D712" s="68"/>
      <x:c r="E712" s="37" t="str">
        <x:v>size</x:v>
      </x:c>
      <x:c r="F712" s="21" t="str">
        <x:v>/saɪz/</x:v>
      </x:c>
      <x:c r="G712" s="38" t="str">
        <x:v>尺码；号</x:v>
      </x:c>
      <x:c r="H712" s="68"/>
      <x:c r="I712" s="37" t="str">
        <x:v>speaker</x:v>
      </x:c>
      <x:c r="J712" s="21" t="str">
        <x:v>/ˈspiːkə(r)/</x:v>
      </x:c>
      <x:c r="K712" s="38" t="str">
        <x:v>扬声器；演讲者</x:v>
      </x:c>
    </x:row>
    <x:row r="713" ht="20" customHeight="1">
      <x:c r="A713" s="39" t="str">
        <x:v>science</x:v>
      </x:c>
      <x:c r="B713" s="28" t="str">
        <x:v>/ˈsaɪəns/</x:v>
      </x:c>
      <x:c r="C713" s="40" t="str">
        <x:v>科学</x:v>
      </x:c>
      <x:c r="D713" s="68"/>
      <x:c r="E713" s="39" t="str">
        <x:v>skill</x:v>
      </x:c>
      <x:c r="F713" s="28" t="str">
        <x:v>/skɪl/</x:v>
      </x:c>
      <x:c r="G713" s="40" t="str">
        <x:v>技能；技巧</x:v>
      </x:c>
      <x:c r="H713" s="68"/>
      <x:c r="I713" s="39" t="str">
        <x:v>special</x:v>
      </x:c>
      <x:c r="J713" s="28" t="str">
        <x:v>/ˈspeʃl/</x:v>
      </x:c>
      <x:c r="K713" s="40" t="str">
        <x:v>特殊的；特别的（兼作形容词）</x:v>
      </x:c>
    </x:row>
    <x:row r="714" ht="20" customHeight="1">
      <x:c r="A714" s="37" t="str">
        <x:v>score</x:v>
      </x:c>
      <x:c r="B714" s="21" t="str">
        <x:v>/skɔː(r)/</x:v>
      </x:c>
      <x:c r="C714" s="38" t="str">
        <x:v>得分；成绩</x:v>
      </x:c>
      <x:c r="D714" s="68"/>
      <x:c r="E714" s="37" t="str">
        <x:v>sky</x:v>
      </x:c>
      <x:c r="F714" s="21" t="str">
        <x:v>/skaɪ/</x:v>
      </x:c>
      <x:c r="G714" s="38" t="str">
        <x:v>天空</x:v>
      </x:c>
      <x:c r="H714" s="68"/>
      <x:c r="I714" s="37" t="str">
        <x:v>speech</x:v>
      </x:c>
      <x:c r="J714" s="21" t="str">
        <x:v>/spiːtʃ/</x:v>
      </x:c>
      <x:c r="K714" s="38" t="str">
        <x:v>演讲</x:v>
      </x:c>
    </x:row>
    <x:row r="715" ht="20" customHeight="1">
      <x:c r="A715" s="39" t="str">
        <x:v>sea</x:v>
      </x:c>
      <x:c r="B715" s="28" t="str">
        <x:v>/siː/</x:v>
      </x:c>
      <x:c r="C715" s="40" t="str">
        <x:v>海；海洋</x:v>
      </x:c>
      <x:c r="D715" s="68"/>
      <x:c r="E715" s="39" t="str">
        <x:v>sleep</x:v>
      </x:c>
      <x:c r="F715" s="28" t="str">
        <x:v>/sliːp/</x:v>
      </x:c>
      <x:c r="G715" s="40" t="str">
        <x:v>睡眠</x:v>
      </x:c>
      <x:c r="H715" s="68"/>
      <x:c r="I715" s="39" t="str">
        <x:v>speed</x:v>
      </x:c>
      <x:c r="J715" s="28" t="str">
        <x:v>/spiːd/</x:v>
      </x:c>
      <x:c r="K715" s="40" t="str">
        <x:v>速度</x:v>
      </x:c>
    </x:row>
    <x:row r="716" ht="20" customHeight="1">
      <x:c r="A716" s="37" t="str">
        <x:v>season</x:v>
      </x:c>
      <x:c r="B716" s="21" t="str">
        <x:v>/ˈsiːzn/</x:v>
      </x:c>
      <x:c r="C716" s="38" t="str">
        <x:v>季；季节</x:v>
      </x:c>
      <x:c r="D716" s="68"/>
      <x:c r="E716" s="37" t="str">
        <x:v>slow</x:v>
      </x:c>
      <x:c r="F716" s="21" t="str">
        <x:v>/sləʊ/</x:v>
      </x:c>
      <x:c r="G716" s="38" t="str">
        <x:v>慢；缓慢</x:v>
      </x:c>
      <x:c r="H716" s="68"/>
      <x:c r="I716" s="37" t="str">
        <x:v>spell</x:v>
      </x:c>
      <x:c r="J716" s="21" t="str">
        <x:v>/spel/</x:v>
      </x:c>
      <x:c r="K716" s="38" t="str">
        <x:v>拼写</x:v>
      </x:c>
    </x:row>
    <x:row r="717" ht="20" customHeight="1">
      <x:c r="A717" s="39" t="str">
        <x:v>seat</x:v>
      </x:c>
      <x:c r="B717" s="28" t="str">
        <x:v>/siːt/</x:v>
      </x:c>
      <x:c r="C717" s="40" t="str">
        <x:v>座位</x:v>
      </x:c>
      <x:c r="D717" s="68"/>
      <x:c r="E717" s="39" t="str">
        <x:v>smile</x:v>
      </x:c>
      <x:c r="F717" s="28" t="str">
        <x:v>/smaɪl/</x:v>
      </x:c>
      <x:c r="G717" s="40" t="str">
        <x:v>微笑</x:v>
      </x:c>
      <x:c r="H717" s="68"/>
      <x:c r="I717" s="39" t="str">
        <x:v>spirit</x:v>
      </x:c>
      <x:c r="J717" s="28" t="str">
        <x:v>/ˈspɪrɪt/</x:v>
      </x:c>
      <x:c r="K717" s="40" t="str">
        <x:v>精神；心灵</x:v>
      </x:c>
    </x:row>
    <x:row r="718" ht="20" customHeight="1">
      <x:c r="A718" s="37" t="str">
        <x:v>second</x:v>
      </x:c>
      <x:c r="B718" s="21" t="str">
        <x:v>/ˈsekənd/</x:v>
      </x:c>
      <x:c r="C718" s="38" t="str">
        <x:v>秒；第二</x:v>
      </x:c>
      <x:c r="D718" s="68"/>
      <x:c r="E718" s="37" t="str">
        <x:v>snow</x:v>
      </x:c>
      <x:c r="F718" s="21" t="str">
        <x:v>/snəʊ/</x:v>
      </x:c>
      <x:c r="G718" s="38" t="str">
        <x:v>雪</x:v>
      </x:c>
      <x:c r="H718" s="68"/>
      <x:c r="I718" s="37" t="str">
        <x:v>sport</x:v>
      </x:c>
      <x:c r="J718" s="21" t="str">
        <x:v>/spɔːt/</x:v>
      </x:c>
      <x:c r="K718" s="38" t="str">
        <x:v>运动</x:v>
      </x:c>
    </x:row>
    <x:row r="719" ht="20" customHeight="1">
      <x:c r="A719" s="39" t="str">
        <x:v>sentence</x:v>
      </x:c>
      <x:c r="B719" s="28" t="str">
        <x:v>/ˈsentəns/</x:v>
      </x:c>
      <x:c r="C719" s="40" t="str">
        <x:v>句子</x:v>
      </x:c>
      <x:c r="D719" s="68"/>
      <x:c r="E719" s="39" t="str">
        <x:v>soccer</x:v>
      </x:c>
      <x:c r="F719" s="28" t="str">
        <x:v>/ˈsɒkə(r)/</x:v>
      </x:c>
      <x:c r="G719" s="40" t="str">
        <x:v>足球</x:v>
      </x:c>
      <x:c r="H719" s="68"/>
      <x:c r="I719" s="39" t="str">
        <x:v>spring</x:v>
      </x:c>
      <x:c r="J719" s="28" t="str">
        <x:v>/sprɪŋ/</x:v>
      </x:c>
      <x:c r="K719" s="40" t="str">
        <x:v>春天；春季</x:v>
      </x:c>
    </x:row>
    <x:row r="720" ht="20" customHeight="1">
      <x:c r="A720" s="37" t="str">
        <x:v>September</x:v>
      </x:c>
      <x:c r="B720" s="21" t="str">
        <x:v>/sepˈtembə(r)/</x:v>
      </x:c>
      <x:c r="C720" s="38" t="str">
        <x:v>九月</x:v>
      </x:c>
      <x:c r="D720" s="68"/>
      <x:c r="E720" s="37" t="str">
        <x:v>social</x:v>
      </x:c>
      <x:c r="F720" s="21" t="str">
        <x:v>/ˈsəʊʃl/</x:v>
      </x:c>
      <x:c r="G720" s="38" t="str">
        <x:v>社会的；社交的（兼作形容词）</x:v>
      </x:c>
      <x:c r="H720" s="68"/>
      <x:c r="I720" s="37" t="str">
        <x:v>square</x:v>
      </x:c>
      <x:c r="J720" s="21" t="str">
        <x:v>/skweə(r)/</x:v>
      </x:c>
      <x:c r="K720" s="38" t="str">
        <x:v>广场；正方形</x:v>
      </x:c>
    </x:row>
    <x:row r="721" ht="20" customHeight="1">
      <x:c r="A721" s="39" t="str">
        <x:v>service</x:v>
      </x:c>
      <x:c r="B721" s="28" t="str">
        <x:v>/ˈsɜːvɪs/</x:v>
      </x:c>
      <x:c r="C721" s="40" t="str">
        <x:v>公共服务；服务</x:v>
      </x:c>
      <x:c r="D721" s="68"/>
      <x:c r="E721" s="39" t="str">
        <x:v>society</x:v>
      </x:c>
      <x:c r="F721" s="28" t="str">
        <x:v>/səˈsaɪəti/</x:v>
      </x:c>
      <x:c r="G721" s="40" t="str">
        <x:v>社会</x:v>
      </x:c>
      <x:c r="H721" s="68"/>
      <x:c r="I721" s="39" t="str">
        <x:v>stage</x:v>
      </x:c>
      <x:c r="J721" s="28" t="str">
        <x:v>/steɪdʒ/</x:v>
      </x:c>
      <x:c r="K721" s="40" t="str">
        <x:v>舞台</x:v>
      </x:c>
    </x:row>
    <x:row r="722" ht="20" customHeight="1">
      <x:c r="A722" s="37" t="str">
        <x:v>shark</x:v>
      </x:c>
      <x:c r="B722" s="21" t="str">
        <x:v>/ʃɑːk/</x:v>
      </x:c>
      <x:c r="C722" s="38" t="str">
        <x:v>鲨鱼</x:v>
      </x:c>
      <x:c r="D722" s="68"/>
      <x:c r="E722" s="37" t="str">
        <x:v>sock</x:v>
      </x:c>
      <x:c r="F722" s="21" t="str">
        <x:v>/sɒk/</x:v>
      </x:c>
      <x:c r="G722" s="38" t="str">
        <x:v>短袜</x:v>
      </x:c>
      <x:c r="H722" s="68"/>
      <x:c r="I722" s="37" t="str">
        <x:v>stamp</x:v>
      </x:c>
      <x:c r="J722" s="21" t="str">
        <x:v>/stæmp/</x:v>
      </x:c>
      <x:c r="K722" s="38" t="str">
        <x:v>邮票</x:v>
      </x:c>
    </x:row>
    <x:row r="723" ht="20" customHeight="1">
      <x:c r="A723" s="39" t="str">
        <x:v>shirt</x:v>
      </x:c>
      <x:c r="B723" s="28" t="str">
        <x:v>/ʃɜːt/</x:v>
      </x:c>
      <x:c r="C723" s="40" t="str">
        <x:v>衬衫</x:v>
      </x:c>
      <x:c r="D723" s="68"/>
      <x:c r="E723" s="39" t="str">
        <x:v>sofa</x:v>
      </x:c>
      <x:c r="F723" s="28" t="str">
        <x:v>/ˈsəʊfə/</x:v>
      </x:c>
      <x:c r="G723" s="40" t="str">
        <x:v>沙发</x:v>
      </x:c>
      <x:c r="H723" s="68"/>
      <x:c r="I723" s="39" t="str">
        <x:v>star</x:v>
      </x:c>
      <x:c r="J723" s="28" t="str">
        <x:v>/stɑː(r)/</x:v>
      </x:c>
      <x:c r="K723" s="40" t="str">
        <x:v>星星；明星</x:v>
      </x:c>
    </x:row>
    <x:row r="724" ht="20" customHeight="1">
      <x:c r="A724" s="37" t="str">
        <x:v>shoe</x:v>
      </x:c>
      <x:c r="B724" s="21" t="str">
        <x:v>/ʃuː/</x:v>
      </x:c>
      <x:c r="C724" s="38" t="str">
        <x:v>鞋</x:v>
      </x:c>
      <x:c r="D724" s="68"/>
      <x:c r="E724" s="37" t="str">
        <x:v>soil</x:v>
      </x:c>
      <x:c r="F724" s="21" t="str">
        <x:v>/sɔɪl/</x:v>
      </x:c>
      <x:c r="G724" s="38" t="str">
        <x:v>土壤</x:v>
      </x:c>
      <x:c r="H724" s="68"/>
      <x:c r="I724" s="37" t="str">
        <x:v>start</x:v>
      </x:c>
      <x:c r="J724" s="21" t="str">
        <x:v>/stɑːt/</x:v>
      </x:c>
      <x:c r="K724" s="38" t="str">
        <x:v>开始；开端（兼作动词）</x:v>
      </x:c>
    </x:row>
    <x:row r="725" ht="20" customHeight="1">
      <x:c r="A725" s="39" t="str">
        <x:v>shop</x:v>
      </x:c>
      <x:c r="B725" s="28" t="str">
        <x:v>/ʃɒp/</x:v>
      </x:c>
      <x:c r="C725" s="40" t="str">
        <x:v>商店；购物</x:v>
      </x:c>
      <x:c r="D725" s="68"/>
      <x:c r="E725" s="39" t="str">
        <x:v>solar</x:v>
      </x:c>
      <x:c r="F725" s="28" t="str">
        <x:v>/ˈsəʊlə(r)/</x:v>
      </x:c>
      <x:c r="G725" s="40" t="str">
        <x:v>太阳的；与太阳有关的（兼作形容词）</x:v>
      </x:c>
      <x:c r="H725" s="68"/>
      <x:c r="I725" s="39" t="str">
        <x:v>station</x:v>
      </x:c>
      <x:c r="J725" s="28" t="str">
        <x:v>/ˈsteɪʃn/</x:v>
      </x:c>
      <x:c r="K725" s="40" t="str">
        <x:v>车站</x:v>
      </x:c>
    </x:row>
    <x:row r="726" ht="20" customHeight="1">
      <x:c r="A726" s="37" t="str">
        <x:v>short</x:v>
      </x:c>
      <x:c r="B726" s="21" t="str">
        <x:v>/ʃɔːt/</x:v>
      </x:c>
      <x:c r="C726" s="38" t="str">
        <x:v>短裤</x:v>
      </x:c>
      <x:c r="D726" s="68"/>
      <x:c r="E726" s="37" t="str">
        <x:v>solar</x:v>
      </x:c>
      <x:c r="F726" s="21" t="str"/>
      <x:c r="G726" s="38" t="str">
        <x:v>system 太阳系</x:v>
      </x:c>
      <x:c r="H726" s="68"/>
      <x:c r="I726" s="37" t="str">
        <x:v>steak</x:v>
      </x:c>
      <x:c r="J726" s="21" t="str">
        <x:v>/steɪk/</x:v>
      </x:c>
      <x:c r="K726" s="38" t="str">
        <x:v>牛排</x:v>
      </x:c>
    </x:row>
    <x:row r="727" ht="20" customHeight="1">
      <x:c r="A727" s="39" t="str">
        <x:v>shoulder</x:v>
      </x:c>
      <x:c r="B727" s="28" t="str">
        <x:v>/ˈʃəʊldə(r)/</x:v>
      </x:c>
      <x:c r="C727" s="40" t="str">
        <x:v>肩；肩膀</x:v>
      </x:c>
      <x:c r="D727" s="68"/>
      <x:c r="E727" s="39" t="str">
        <x:v>soldier</x:v>
      </x:c>
      <x:c r="F727" s="28" t="str">
        <x:v>/ˈsəʊldʒə(r)/</x:v>
      </x:c>
      <x:c r="G727" s="40" t="str">
        <x:v>士兵；军人</x:v>
      </x:c>
      <x:c r="H727" s="68"/>
      <x:c r="I727" s="39" t="str">
        <x:v>step</x:v>
      </x:c>
      <x:c r="J727" s="28" t="str">
        <x:v>/step/</x:v>
      </x:c>
      <x:c r="K727" s="40" t="str">
        <x:v>脚步；步骤</x:v>
      </x:c>
    </x:row>
    <x:row r="728" ht="20" customHeight="1">
      <x:c r="A728" s="41" t="str">
        <x:v>show</x:v>
      </x:c>
      <x:c r="B728" s="42" t="str">
        <x:v>/ʃəʊ/</x:v>
      </x:c>
      <x:c r="C728" s="43" t="str">
        <x:v>演出；表演</x:v>
      </x:c>
      <x:c r="D728" s="68"/>
      <x:c r="E728" s="41" t="str">
        <x:v>son</x:v>
      </x:c>
      <x:c r="F728" s="42" t="str">
        <x:v>/sʌn/</x:v>
      </x:c>
      <x:c r="G728" s="43" t="str">
        <x:v>儿子</x:v>
      </x:c>
      <x:c r="H728" s="68"/>
      <x:c r="I728" s="41" t="str">
        <x:v>stick</x:v>
      </x:c>
      <x:c r="J728" s="42" t="str">
        <x:v>/stɪk/</x:v>
      </x:c>
      <x:c r="K728" s="43" t="str">
        <x:v>棍；棒；枝条（兼作动词）</x:v>
      </x:c>
    </x:row>
    <x:row r="729">
      <x:c r="A729" s="68"/>
      <x:c r="B729" s="68"/>
      <x:c r="C729" s="68"/>
      <x:c r="D729" s="68"/>
      <x:c r="E729" s="68"/>
      <x:c r="F729" s="68"/>
      <x:c r="G729" s="68"/>
      <x:c r="H729" s="68"/>
      <x:c r="I729" s="68"/>
      <x:c r="J729" s="68"/>
      <x:c r="K729" s="68"/>
    </x:row>
    <x:row r="730" ht="27" customHeight="1">
      <x:c r="A730" s="65" t="str">
        <x:v>S 开头单词（2/4）</x:v>
      </x:c>
      <x:c r="B730" s="66"/>
      <x:c r="C730" s="67"/>
      <x:c r="D730" s="68"/>
      <x:c r="E730" s="69"/>
      <x:c r="F730" s="66"/>
      <x:c r="G730" s="67"/>
      <x:c r="H730" s="68"/>
      <x:c r="I730" s="69"/>
      <x:c r="J730" s="66"/>
      <x:c r="K730" s="67"/>
    </x:row>
    <x:row r="731" ht="19" customHeight="1">
      <x:c r="A731" s="70" t="str">
        <x:v>英文单词 / 短语</x:v>
      </x:c>
      <x:c r="B731" s="71" t="str">
        <x:v>音标</x:v>
      </x:c>
      <x:c r="C731" s="72" t="str">
        <x:v>中文解释</x:v>
      </x:c>
      <x:c r="D731" s="68"/>
      <x:c r="E731" s="70" t="str">
        <x:v>英文单词 / 短语</x:v>
      </x:c>
      <x:c r="F731" s="71" t="str">
        <x:v>音标</x:v>
      </x:c>
      <x:c r="G731" s="72" t="str">
        <x:v>中文解释</x:v>
      </x:c>
      <x:c r="H731" s="68"/>
      <x:c r="I731" s="70" t="str">
        <x:v>英文单词 / 短语</x:v>
      </x:c>
      <x:c r="J731" s="71" t="str">
        <x:v>音标</x:v>
      </x:c>
      <x:c r="K731" s="72" t="str">
        <x:v>中文解释</x:v>
      </x:c>
    </x:row>
    <x:row r="732" ht="20" customHeight="1">
      <x:c r="A732" s="39" t="str">
        <x:v>stomach</x:v>
      </x:c>
      <x:c r="B732" s="28" t="str">
        <x:v>/ˈstʌmək/</x:v>
      </x:c>
      <x:c r="C732" s="40" t="str">
        <x:v>腹部；肚子</x:v>
      </x:c>
      <x:c r="D732" s="68"/>
      <x:c r="E732" s="39" t="str">
        <x:v>sweater</x:v>
      </x:c>
      <x:c r="F732" s="28" t="str">
        <x:v>/ˈswetə(r)/</x:v>
      </x:c>
      <x:c r="G732" s="40" t="str">
        <x:v>毛衣</x:v>
      </x:c>
      <x:c r="H732" s="68"/>
      <x:c r="I732" s="39" t="str">
        <x:v>skate</x:v>
      </x:c>
      <x:c r="J732" s="28" t="str">
        <x:v>/skeɪt/</x:v>
      </x:c>
      <x:c r="K732" s="40" t="str">
        <x:v>滑冰</x:v>
      </x:c>
    </x:row>
    <x:row r="733" ht="20" customHeight="1">
      <x:c r="A733" s="37" t="str">
        <x:v>stone</x:v>
      </x:c>
      <x:c r="B733" s="21" t="str">
        <x:v>/stəʊn/</x:v>
      </x:c>
      <x:c r="C733" s="38" t="str">
        <x:v>石头</x:v>
      </x:c>
      <x:c r="D733" s="68"/>
      <x:c r="E733" s="37" t="str">
        <x:v>swim</x:v>
      </x:c>
      <x:c r="F733" s="21" t="str">
        <x:v>/swɪm/</x:v>
      </x:c>
      <x:c r="G733" s="38" t="str">
        <x:v>游泳（兼作动词）</x:v>
      </x:c>
      <x:c r="H733" s="68"/>
      <x:c r="I733" s="37" t="str">
        <x:v>sleep</x:v>
      </x:c>
      <x:c r="J733" s="21" t="str">
        <x:v>/sliːp/</x:v>
      </x:c>
      <x:c r="K733" s="38" t="str">
        <x:v>睡觉</x:v>
      </x:c>
    </x:row>
    <x:row r="734" ht="20" customHeight="1">
      <x:c r="A734" s="39" t="str">
        <x:v>stop</x:v>
      </x:c>
      <x:c r="B734" s="28" t="str">
        <x:v>/stɒp/</x:v>
      </x:c>
      <x:c r="C734" s="40" t="str">
        <x:v>车站；停止（兼作动词）</x:v>
      </x:c>
      <x:c r="D734" s="68"/>
      <x:c r="E734" s="39" t="str">
        <x:v>swimming</x:v>
      </x:c>
      <x:c r="F734" s="28" t="str">
        <x:v>/ˈswɪmɪŋ/</x:v>
      </x:c>
      <x:c r="G734" s="40" t="str">
        <x:v>游泳</x:v>
      </x:c>
      <x:c r="H734" s="68"/>
      <x:c r="I734" s="39" t="str">
        <x:v>slow</x:v>
      </x:c>
      <x:c r="J734" s="28" t="str">
        <x:v>/sləʊ/</x:v>
      </x:c>
      <x:c r="K734" s="40" t="str">
        <x:v>放慢；减速</x:v>
      </x:c>
    </x:row>
    <x:row r="735" ht="20" customHeight="1">
      <x:c r="A735" s="37" t="str">
        <x:v>store</x:v>
      </x:c>
      <x:c r="B735" s="21" t="str">
        <x:v>/stɔː(r)/</x:v>
      </x:c>
      <x:c r="C735" s="38" t="str">
        <x:v>商店；店铺</x:v>
      </x:c>
      <x:c r="D735" s="68"/>
      <x:c r="E735" s="37" t="str">
        <x:v>swing</x:v>
      </x:c>
      <x:c r="F735" s="21" t="str">
        <x:v>/swɪŋ/</x:v>
      </x:c>
      <x:c r="G735" s="38" t="str">
        <x:v>秋千；摇摆（兼作动词）</x:v>
      </x:c>
      <x:c r="H735" s="68"/>
      <x:c r="I735" s="37" t="str">
        <x:v>smile</x:v>
      </x:c>
      <x:c r="J735" s="21" t="str">
        <x:v>/smaɪl/</x:v>
      </x:c>
      <x:c r="K735" s="38" t="str">
        <x:v>微笑</x:v>
      </x:c>
    </x:row>
    <x:row r="736" ht="20" customHeight="1">
      <x:c r="A736" s="39" t="str">
        <x:v>story</x:v>
      </x:c>
      <x:c r="B736" s="28" t="str">
        <x:v>/ˈstɔːri/</x:v>
      </x:c>
      <x:c r="C736" s="40" t="str">
        <x:v>故事</x:v>
      </x:c>
      <x:c r="D736" s="68"/>
      <x:c r="E736" s="39" t="str">
        <x:v>symbol</x:v>
      </x:c>
      <x:c r="F736" s="28" t="str">
        <x:v>/ˈsɪmbl/</x:v>
      </x:c>
      <x:c r="G736" s="40" t="str">
        <x:v>象征；标志</x:v>
      </x:c>
      <x:c r="H736" s="68"/>
      <x:c r="I736" s="39" t="str">
        <x:v>snow</x:v>
      </x:c>
      <x:c r="J736" s="28" t="str">
        <x:v>/snəʊ/</x:v>
      </x:c>
      <x:c r="K736" s="40" t="str">
        <x:v>下雪</x:v>
      </x:c>
    </x:row>
    <x:row r="737" ht="20" customHeight="1">
      <x:c r="A737" s="37" t="str">
        <x:v>straight</x:v>
      </x:c>
      <x:c r="B737" s="21" t="str">
        <x:v>/streɪt/</x:v>
      </x:c>
      <x:c r="C737" s="38" t="str">
        <x:v>直的；笔直的（兼作形容词/副词）</x:v>
      </x:c>
      <x:c r="D737" s="68"/>
      <x:c r="E737" s="37" t="str">
        <x:v>system</x:v>
      </x:c>
      <x:c r="F737" s="21" t="str">
        <x:v>/ˈsɪstəm/</x:v>
      </x:c>
      <x:c r="G737" s="38" t="str">
        <x:v>系统；体系</x:v>
      </x:c>
      <x:c r="H737" s="68"/>
      <x:c r="I737" s="37" t="str">
        <x:v>solve</x:v>
      </x:c>
      <x:c r="J737" s="21" t="str">
        <x:v>/sɒlv/</x:v>
      </x:c>
      <x:c r="K737" s="38" t="str">
        <x:v>解决问题</x:v>
      </x:c>
    </x:row>
    <x:row r="738" ht="20" customHeight="1">
      <x:c r="A738" s="39" t="str">
        <x:v>strange</x:v>
      </x:c>
      <x:c r="B738" s="28" t="str">
        <x:v>/streɪndʒ/</x:v>
      </x:c>
      <x:c r="C738" s="40" t="str">
        <x:v>奇怪的；陌生的（兼作形容词）</x:v>
      </x:c>
      <x:c r="D738" s="68"/>
      <x:c r="E738" s="73" t="str">
        <x:v>动词（45）</x:v>
      </x:c>
      <x:c r="F738" s="68"/>
      <x:c r="G738" s="74"/>
      <x:c r="H738" s="68"/>
      <x:c r="I738" s="39" t="str">
        <x:v>sound</x:v>
      </x:c>
      <x:c r="J738" s="28" t="str">
        <x:v>/saʊnd/</x:v>
      </x:c>
      <x:c r="K738" s="40" t="str">
        <x:v>听起来；发出声音</x:v>
      </x:c>
    </x:row>
    <x:row r="739" ht="20" customHeight="1">
      <x:c r="A739" s="37" t="str">
        <x:v>stranger</x:v>
      </x:c>
      <x:c r="B739" s="21" t="str">
        <x:v>/ˈstreɪndʒə(r)/</x:v>
      </x:c>
      <x:c r="C739" s="38" t="str">
        <x:v>陌生人</x:v>
      </x:c>
      <x:c r="D739" s="68"/>
      <x:c r="E739" s="37" t="str">
        <x:v>sail</x:v>
      </x:c>
      <x:c r="F739" s="21" t="str">
        <x:v>/seɪl/</x:v>
      </x:c>
      <x:c r="G739" s="38" t="str">
        <x:v>航行；航海</x:v>
      </x:c>
      <x:c r="H739" s="68"/>
      <x:c r="I739" s="37" t="str">
        <x:v>speak</x:v>
      </x:c>
      <x:c r="J739" s="21" t="str">
        <x:v>/spiːk/</x:v>
      </x:c>
      <x:c r="K739" s="38" t="str">
        <x:v>说；讲；谈话</x:v>
      </x:c>
    </x:row>
    <x:row r="740" ht="20" customHeight="1">
      <x:c r="A740" s="39" t="str">
        <x:v>strawberry</x:v>
      </x:c>
      <x:c r="B740" s="28" t="str">
        <x:v>/ˈstrɔːbəri/</x:v>
      </x:c>
      <x:c r="C740" s="40" t="str">
        <x:v>草莓</x:v>
      </x:c>
      <x:c r="D740" s="68"/>
      <x:c r="E740" s="39" t="str">
        <x:v>sale</x:v>
      </x:c>
      <x:c r="F740" s="28" t="str">
        <x:v>/seɪl/</x:v>
      </x:c>
      <x:c r="G740" s="40" t="str">
        <x:v>卖；出售</x:v>
      </x:c>
      <x:c r="H740" s="68"/>
      <x:c r="I740" s="39" t="str">
        <x:v>spell</x:v>
      </x:c>
      <x:c r="J740" s="28" t="str">
        <x:v>/spel/</x:v>
      </x:c>
      <x:c r="K740" s="40" t="str">
        <x:v>拼写</x:v>
      </x:c>
    </x:row>
    <x:row r="741" ht="20" customHeight="1">
      <x:c r="A741" s="37" t="str">
        <x:v>street</x:v>
      </x:c>
      <x:c r="B741" s="21" t="str">
        <x:v>/striːt/</x:v>
      </x:c>
      <x:c r="C741" s="38" t="str">
        <x:v>街道</x:v>
      </x:c>
      <x:c r="D741" s="68"/>
      <x:c r="E741" s="37" t="str">
        <x:v>save</x:v>
      </x:c>
      <x:c r="F741" s="21" t="str">
        <x:v>/seɪv/</x:v>
      </x:c>
      <x:c r="G741" s="38" t="str">
        <x:v>保存；储存；挽救</x:v>
      </x:c>
      <x:c r="H741" s="68"/>
      <x:c r="I741" s="37" t="str">
        <x:v>spend</x:v>
      </x:c>
      <x:c r="J741" s="21" t="str">
        <x:v>/spend/</x:v>
      </x:c>
      <x:c r="K741" s="38" t="str">
        <x:v>花费；度过</x:v>
      </x:c>
    </x:row>
    <x:row r="742" ht="20" customHeight="1">
      <x:c r="A742" s="39" t="str">
        <x:v>stress</x:v>
      </x:c>
      <x:c r="B742" s="28" t="str">
        <x:v>/stres/</x:v>
      </x:c>
      <x:c r="C742" s="40" t="str">
        <x:v>压力；紧张</x:v>
      </x:c>
      <x:c r="D742" s="68"/>
      <x:c r="E742" s="39" t="str">
        <x:v>say</x:v>
      </x:c>
      <x:c r="F742" s="28" t="str">
        <x:v>/seɪ/</x:v>
      </x:c>
      <x:c r="G742" s="40" t="str">
        <x:v>说；讲</x:v>
      </x:c>
      <x:c r="H742" s="68"/>
      <x:c r="I742" s="39" t="str">
        <x:v>spread</x:v>
      </x:c>
      <x:c r="J742" s="28" t="str">
        <x:v>/spred/</x:v>
      </x:c>
      <x:c r="K742" s="40" t="str">
        <x:v>传播；展开</x:v>
      </x:c>
    </x:row>
    <x:row r="743" ht="20" customHeight="1">
      <x:c r="A743" s="37" t="str">
        <x:v>student</x:v>
      </x:c>
      <x:c r="B743" s="21" t="str">
        <x:v>/ˈstjuːdnt/</x:v>
      </x:c>
      <x:c r="C743" s="38" t="str">
        <x:v>学生</x:v>
      </x:c>
      <x:c r="D743" s="68"/>
      <x:c r="E743" s="37" t="str">
        <x:v>see</x:v>
      </x:c>
      <x:c r="F743" s="21" t="str">
        <x:v>/siː/</x:v>
      </x:c>
      <x:c r="G743" s="38" t="str">
        <x:v>看见</x:v>
      </x:c>
      <x:c r="H743" s="68"/>
      <x:c r="I743" s="37" t="str">
        <x:v>stand</x:v>
      </x:c>
      <x:c r="J743" s="21" t="str">
        <x:v>/stænd/</x:v>
      </x:c>
      <x:c r="K743" s="38" t="str">
        <x:v>站立；忍受</x:v>
      </x:c>
    </x:row>
    <x:row r="744" ht="20" customHeight="1">
      <x:c r="A744" s="39" t="str">
        <x:v>study</x:v>
      </x:c>
      <x:c r="B744" s="28" t="str">
        <x:v>/ˈstʌdi/</x:v>
      </x:c>
      <x:c r="C744" s="40" t="str">
        <x:v>学习；书房（兼作动词）</x:v>
      </x:c>
      <x:c r="D744" s="68"/>
      <x:c r="E744" s="39" t="str">
        <x:v>sell</x:v>
      </x:c>
      <x:c r="F744" s="28" t="str">
        <x:v>/sel/</x:v>
      </x:c>
      <x:c r="G744" s="40" t="str">
        <x:v>卖；出售</x:v>
      </x:c>
      <x:c r="H744" s="68"/>
      <x:c r="I744" s="39" t="str">
        <x:v>start</x:v>
      </x:c>
      <x:c r="J744" s="28" t="str">
        <x:v>/stɑːt/</x:v>
      </x:c>
      <x:c r="K744" s="40" t="str">
        <x:v>开始；启动</x:v>
      </x:c>
    </x:row>
    <x:row r="745" ht="20" customHeight="1">
      <x:c r="A745" s="37" t="str">
        <x:v>subject</x:v>
      </x:c>
      <x:c r="B745" s="21" t="str">
        <x:v>/ˈsʌbdʒɪkt/</x:v>
      </x:c>
      <x:c r="C745" s="38" t="str">
        <x:v>科目；主题</x:v>
      </x:c>
      <x:c r="D745" s="68"/>
      <x:c r="E745" s="37" t="str">
        <x:v>send</x:v>
      </x:c>
      <x:c r="F745" s="21" t="str">
        <x:v>/send/</x:v>
      </x:c>
      <x:c r="G745" s="38" t="str">
        <x:v>发送；寄</x:v>
      </x:c>
      <x:c r="H745" s="68"/>
      <x:c r="I745" s="37" t="str">
        <x:v>stay</x:v>
      </x:c>
      <x:c r="J745" s="21" t="str">
        <x:v>/steɪ/</x:v>
      </x:c>
      <x:c r="K745" s="38" t="str">
        <x:v>保持；停留；暂住</x:v>
      </x:c>
    </x:row>
    <x:row r="746" ht="20" customHeight="1">
      <x:c r="A746" s="39" t="str">
        <x:v>sugar</x:v>
      </x:c>
      <x:c r="B746" s="28" t="str">
        <x:v>/ˈʃʊɡə(r)/</x:v>
      </x:c>
      <x:c r="C746" s="40" t="str">
        <x:v>糖</x:v>
      </x:c>
      <x:c r="D746" s="68"/>
      <x:c r="E746" s="39" t="str">
        <x:v>set</x:v>
      </x:c>
      <x:c r="F746" s="28" t="str">
        <x:v>/set/</x:v>
      </x:c>
      <x:c r="G746" s="40" t="str">
        <x:v>设立；建立；设置</x:v>
      </x:c>
      <x:c r="H746" s="68"/>
      <x:c r="I746" s="39" t="str">
        <x:v>steal</x:v>
      </x:c>
      <x:c r="J746" s="28" t="str">
        <x:v>/stiːl/</x:v>
      </x:c>
      <x:c r="K746" s="40" t="str">
        <x:v>偷；窃取</x:v>
      </x:c>
    </x:row>
    <x:row r="747" ht="20" customHeight="1">
      <x:c r="A747" s="37" t="str">
        <x:v>suggestion</x:v>
      </x:c>
      <x:c r="B747" s="21" t="str">
        <x:v>/səˈdʒestʃən/</x:v>
      </x:c>
      <x:c r="C747" s="38" t="str">
        <x:v>建议</x:v>
      </x:c>
      <x:c r="D747" s="68"/>
      <x:c r="E747" s="37" t="str">
        <x:v>sew</x:v>
      </x:c>
      <x:c r="F747" s="21" t="str">
        <x:v>/səʊ/</x:v>
      </x:c>
      <x:c r="G747" s="38" t="str">
        <x:v>缝；缝纫</x:v>
      </x:c>
      <x:c r="H747" s="68"/>
      <x:c r="I747" s="37" t="str">
        <x:v>stick</x:v>
      </x:c>
      <x:c r="J747" s="21" t="str">
        <x:v>/stɪk/</x:v>
      </x:c>
      <x:c r="K747" s="38" t="str">
        <x:v>粘贴；粘住；刺</x:v>
      </x:c>
    </x:row>
    <x:row r="748" ht="20" customHeight="1">
      <x:c r="A748" s="39" t="str">
        <x:v>suit</x:v>
      </x:c>
      <x:c r="B748" s="28" t="str">
        <x:v>/suːt/</x:v>
      </x:c>
      <x:c r="C748" s="40" t="str">
        <x:v>套装；西装</x:v>
      </x:c>
      <x:c r="D748" s="68"/>
      <x:c r="E748" s="39" t="str">
        <x:v>shake</x:v>
      </x:c>
      <x:c r="F748" s="28" t="str">
        <x:v>/ʃeɪk/</x:v>
      </x:c>
      <x:c r="G748" s="40" t="str">
        <x:v>摇晃；摇动</x:v>
      </x:c>
      <x:c r="H748" s="68"/>
      <x:c r="I748" s="39" t="str">
        <x:v>stop</x:v>
      </x:c>
      <x:c r="J748" s="28" t="str">
        <x:v>/stɒp/</x:v>
      </x:c>
      <x:c r="K748" s="40" t="str">
        <x:v>停止；阻止</x:v>
      </x:c>
    </x:row>
    <x:row r="749" ht="20" customHeight="1">
      <x:c r="A749" s="37" t="str">
        <x:v>summer</x:v>
      </x:c>
      <x:c r="B749" s="21" t="str">
        <x:v>/ˈsʌmə(r)/</x:v>
      </x:c>
      <x:c r="C749" s="38" t="str">
        <x:v>夏天</x:v>
      </x:c>
      <x:c r="D749" s="68"/>
      <x:c r="E749" s="37" t="str">
        <x:v>share</x:v>
      </x:c>
      <x:c r="F749" s="21" t="str">
        <x:v>/ʃeə(r)/</x:v>
      </x:c>
      <x:c r="G749" s="38" t="str">
        <x:v>共用；分享</x:v>
      </x:c>
      <x:c r="H749" s="68"/>
      <x:c r="I749" s="37" t="str">
        <x:v>store</x:v>
      </x:c>
      <x:c r="J749" s="21" t="str">
        <x:v>/stɔː(r)/</x:v>
      </x:c>
      <x:c r="K749" s="38" t="str">
        <x:v>储存；存放</x:v>
      </x:c>
    </x:row>
    <x:row r="750" ht="20" customHeight="1">
      <x:c r="A750" s="39" t="str">
        <x:v>sun</x:v>
      </x:c>
      <x:c r="B750" s="28" t="str">
        <x:v>/sʌn/</x:v>
      </x:c>
      <x:c r="C750" s="40" t="str">
        <x:v>太阳</x:v>
      </x:c>
      <x:c r="D750" s="68"/>
      <x:c r="E750" s="39" t="str">
        <x:v>shoot</x:v>
      </x:c>
      <x:c r="F750" s="28" t="str">
        <x:v>/ʃuːt/</x:v>
      </x:c>
      <x:c r="G750" s="40" t="str">
        <x:v>射击；发射</x:v>
      </x:c>
      <x:c r="H750" s="68"/>
      <x:c r="I750" s="39" t="str">
        <x:v>study</x:v>
      </x:c>
      <x:c r="J750" s="28" t="str">
        <x:v>/ˈstʌdi/</x:v>
      </x:c>
      <x:c r="K750" s="40" t="str">
        <x:v>学习；研究</x:v>
      </x:c>
    </x:row>
    <x:row r="751" ht="20" customHeight="1">
      <x:c r="A751" s="37" t="str">
        <x:v>Sunday</x:v>
      </x:c>
      <x:c r="B751" s="21" t="str">
        <x:v>/ˈsʌndeɪ/</x:v>
      </x:c>
      <x:c r="C751" s="38" t="str">
        <x:v>星期天</x:v>
      </x:c>
      <x:c r="D751" s="68"/>
      <x:c r="E751" s="37" t="str">
        <x:v>shop</x:v>
      </x:c>
      <x:c r="F751" s="21" t="str">
        <x:v>/ʃɒp/</x:v>
      </x:c>
      <x:c r="G751" s="38" t="str">
        <x:v>购物</x:v>
      </x:c>
      <x:c r="H751" s="68"/>
      <x:c r="I751" s="37" t="str">
        <x:v>succeed</x:v>
      </x:c>
      <x:c r="J751" s="21" t="str">
        <x:v>/səkˈsiːd/</x:v>
      </x:c>
      <x:c r="K751" s="38" t="str">
        <x:v>成功</x:v>
      </x:c>
    </x:row>
    <x:row r="752" ht="20" customHeight="1">
      <x:c r="A752" s="39" t="str">
        <x:v>sunflower</x:v>
      </x:c>
      <x:c r="B752" s="28" t="str">
        <x:v>/ˈsʌnflaʊə(r)/</x:v>
      </x:c>
      <x:c r="C752" s="40" t="str">
        <x:v>向日葵</x:v>
      </x:c>
      <x:c r="D752" s="68"/>
      <x:c r="E752" s="39" t="str">
        <x:v>show</x:v>
      </x:c>
      <x:c r="F752" s="28" t="str">
        <x:v>/ʃəʊ/</x:v>
      </x:c>
      <x:c r="G752" s="40" t="str">
        <x:v>展示；显示；给……看</x:v>
      </x:c>
      <x:c r="H752" s="68"/>
      <x:c r="I752" s="39" t="str">
        <x:v>suggest</x:v>
      </x:c>
      <x:c r="J752" s="28" t="str">
        <x:v>/səˈdʒest/</x:v>
      </x:c>
      <x:c r="K752" s="40" t="str">
        <x:v>建议；提议</x:v>
      </x:c>
    </x:row>
    <x:row r="753" ht="20" customHeight="1">
      <x:c r="A753" s="37" t="str">
        <x:v>supermarket</x:v>
      </x:c>
      <x:c r="B753" s="21" t="str">
        <x:v>/ˈsuːpəmɑːkɪt/</x:v>
      </x:c>
      <x:c r="C753" s="38" t="str">
        <x:v>超市</x:v>
      </x:c>
      <x:c r="D753" s="68"/>
      <x:c r="E753" s="37" t="str">
        <x:v>shut</x:v>
      </x:c>
      <x:c r="F753" s="21" t="str">
        <x:v>/ʃʌt/</x:v>
      </x:c>
      <x:c r="G753" s="38" t="str">
        <x:v>关闭；关上</x:v>
      </x:c>
      <x:c r="H753" s="68"/>
      <x:c r="I753" s="37" t="str">
        <x:v>support</x:v>
      </x:c>
      <x:c r="J753" s="21" t="str">
        <x:v>/səˈpɔːt/</x:v>
      </x:c>
      <x:c r="K753" s="38" t="str">
        <x:v>支持；拥护</x:v>
      </x:c>
    </x:row>
    <x:row r="754" ht="20" customHeight="1">
      <x:c r="A754" s="39" t="str">
        <x:v>support</x:v>
      </x:c>
      <x:c r="B754" s="28" t="str">
        <x:v>/səˈpɔːt/</x:v>
      </x:c>
      <x:c r="C754" s="40" t="str">
        <x:v>支持；拥护（兼作动词）</x:v>
      </x:c>
      <x:c r="D754" s="68"/>
      <x:c r="E754" s="39" t="str">
        <x:v>sing</x:v>
      </x:c>
      <x:c r="F754" s="28" t="str">
        <x:v>/sɪŋ/</x:v>
      </x:c>
      <x:c r="G754" s="40" t="str">
        <x:v>唱；唱歌</x:v>
      </x:c>
      <x:c r="H754" s="68"/>
      <x:c r="I754" s="39" t="str">
        <x:v>suppose</x:v>
      </x:c>
      <x:c r="J754" s="28" t="str">
        <x:v>/səˈpəʊz/</x:v>
      </x:c>
      <x:c r="K754" s="40" t="str">
        <x:v>假定；认为</x:v>
      </x:c>
    </x:row>
    <x:row r="755" ht="20" customHeight="1">
      <x:c r="A755" s="41" t="str">
        <x:v>surprise</x:v>
      </x:c>
      <x:c r="B755" s="42" t="str">
        <x:v>/səˈpraɪz/</x:v>
      </x:c>
      <x:c r="C755" s="43" t="str">
        <x:v>惊奇；意外之事（兼作动词）</x:v>
      </x:c>
      <x:c r="D755" s="68"/>
      <x:c r="E755" s="41" t="str">
        <x:v>sit</x:v>
      </x:c>
      <x:c r="F755" s="42" t="str">
        <x:v>/sɪt/</x:v>
      </x:c>
      <x:c r="G755" s="43" t="str">
        <x:v>坐</x:v>
      </x:c>
      <x:c r="H755" s="68"/>
      <x:c r="I755" s="41" t="str">
        <x:v>surprise</x:v>
      </x:c>
      <x:c r="J755" s="42" t="str">
        <x:v>/səˈpraɪz/</x:v>
      </x:c>
      <x:c r="K755" s="43" t="str">
        <x:v>使吃惊；使惊讶</x:v>
      </x:c>
    </x:row>
    <x:row r="756">
      <x:c r="A756" s="68"/>
      <x:c r="B756" s="68"/>
      <x:c r="C756" s="68"/>
      <x:c r="D756" s="68"/>
      <x:c r="E756" s="68"/>
      <x:c r="F756" s="68"/>
      <x:c r="G756" s="68"/>
      <x:c r="H756" s="68"/>
      <x:c r="I756" s="68"/>
      <x:c r="J756" s="68"/>
      <x:c r="K756" s="68"/>
    </x:row>
    <x:row r="757" ht="27" customHeight="1">
      <x:c r="A757" s="65" t="str">
        <x:v>S 开头单词（3/4）</x:v>
      </x:c>
      <x:c r="B757" s="66"/>
      <x:c r="C757" s="67"/>
      <x:c r="D757" s="68"/>
      <x:c r="E757" s="69"/>
      <x:c r="F757" s="66"/>
      <x:c r="G757" s="67"/>
      <x:c r="H757" s="68"/>
      <x:c r="I757" s="69"/>
      <x:c r="J757" s="66"/>
      <x:c r="K757" s="67"/>
    </x:row>
    <x:row r="758" ht="19" customHeight="1">
      <x:c r="A758" s="70" t="str">
        <x:v>英文单词 / 短语</x:v>
      </x:c>
      <x:c r="B758" s="71" t="str">
        <x:v>音标</x:v>
      </x:c>
      <x:c r="C758" s="72" t="str">
        <x:v>中文解释</x:v>
      </x:c>
      <x:c r="D758" s="68"/>
      <x:c r="E758" s="70" t="str">
        <x:v>英文单词 / 短语</x:v>
      </x:c>
      <x:c r="F758" s="71" t="str">
        <x:v>音标</x:v>
      </x:c>
      <x:c r="G758" s="72" t="str">
        <x:v>中文解释</x:v>
      </x:c>
      <x:c r="H758" s="68"/>
      <x:c r="I758" s="70" t="str">
        <x:v>英文单词 / 短语</x:v>
      </x:c>
      <x:c r="J758" s="71" t="str">
        <x:v>音标</x:v>
      </x:c>
      <x:c r="K758" s="72" t="str">
        <x:v>中文解释</x:v>
      </x:c>
    </x:row>
    <x:row r="759" ht="20" customHeight="1">
      <x:c r="A759" s="39" t="str">
        <x:v>sweep</x:v>
      </x:c>
      <x:c r="B759" s="28" t="str">
        <x:v>/swiːp/</x:v>
      </x:c>
      <x:c r="C759" s="40" t="str">
        <x:v>打扫；清扫</x:v>
      </x:c>
      <x:c r="D759" s="68"/>
      <x:c r="E759" s="39" t="str">
        <x:v>solar</x:v>
      </x:c>
      <x:c r="F759" s="28" t="str">
        <x:v>/ˈsəʊlə(r)/</x:v>
      </x:c>
      <x:c r="G759" s="40" t="str">
        <x:v>太阳的；与太阳有关的</x:v>
      </x:c>
      <x:c r="H759" s="68"/>
      <x:c r="I759" s="39" t="str">
        <x:v>slowly</x:v>
      </x:c>
      <x:c r="J759" s="28" t="str">
        <x:v>/ˈsləʊli/</x:v>
      </x:c>
      <x:c r="K759" s="40" t="str">
        <x:v>缓慢地</x:v>
      </x:c>
    </x:row>
    <x:row r="760" ht="17" customHeight="1">
      <x:c r="A760" s="37" t="str">
        <x:v>swim</x:v>
      </x:c>
      <x:c r="B760" s="21" t="str">
        <x:v>/swɪm/</x:v>
      </x:c>
      <x:c r="C760" s="38" t="str">
        <x:v>游泳</x:v>
      </x:c>
      <x:c r="D760" s="68"/>
      <x:c r="E760" s="37" t="str">
        <x:v>some</x:v>
      </x:c>
      <x:c r="F760" s="21" t="str">
        <x:v>/sʌm/</x:v>
      </x:c>
      <x:c r="G760" s="38" t="str">
        <x:v>一些；若干</x:v>
      </x:c>
      <x:c r="H760" s="68"/>
      <x:c r="I760" s="73" t="str">
        <x:v>介词（1）</x:v>
      </x:c>
      <x:c r="J760" s="68"/>
      <x:c r="K760" s="74"/>
    </x:row>
    <x:row r="761" ht="20" customHeight="1">
      <x:c r="A761" s="39" t="str">
        <x:v>swing</x:v>
      </x:c>
      <x:c r="B761" s="28" t="str">
        <x:v>/swɪŋ/</x:v>
      </x:c>
      <x:c r="C761" s="40" t="str">
        <x:v>摇摆；摆动</x:v>
      </x:c>
      <x:c r="D761" s="68"/>
      <x:c r="E761" s="39" t="str">
        <x:v>sorry</x:v>
      </x:c>
      <x:c r="F761" s="28" t="str">
        <x:v>/ˈsɒri/</x:v>
      </x:c>
      <x:c r="G761" s="40" t="str">
        <x:v>对不起的；抱歉的</x:v>
      </x:c>
      <x:c r="H761" s="68"/>
      <x:c r="I761" s="39" t="str">
        <x:v>since</x:v>
      </x:c>
      <x:c r="J761" s="28" t="str">
        <x:v>/sɪns/</x:v>
      </x:c>
      <x:c r="K761" s="40" t="str">
        <x:v>自……以来；从……以后</x:v>
      </x:c>
    </x:row>
    <x:row r="762" ht="17" customHeight="1">
      <x:c r="A762" s="37" t="str">
        <x:v>symbolize</x:v>
      </x:c>
      <x:c r="B762" s="21" t="str">
        <x:v>/ˈsɪmbəlaɪz/</x:v>
      </x:c>
      <x:c r="C762" s="38" t="str">
        <x:v>象征；代表（注：词表中symbol为名词，补充动词形式）</x:v>
      </x:c>
      <x:c r="D762" s="68"/>
      <x:c r="E762" s="37" t="str">
        <x:v>sound</x:v>
      </x:c>
      <x:c r="F762" s="21" t="str">
        <x:v>/saʊnd/</x:v>
      </x:c>
      <x:c r="G762" s="38" t="str">
        <x:v>健康的；完好的</x:v>
      </x:c>
      <x:c r="H762" s="68"/>
      <x:c r="I762" s="73" t="str">
        <x:v>代词（7）</x:v>
      </x:c>
      <x:c r="J762" s="68"/>
      <x:c r="K762" s="74"/>
    </x:row>
    <x:row r="763" ht="20" customHeight="1">
      <x:c r="A763" s="73" t="str">
        <x:v>形容词（36）</x:v>
      </x:c>
      <x:c r="B763" s="68"/>
      <x:c r="C763" s="74"/>
      <x:c r="D763" s="68"/>
      <x:c r="E763" s="39" t="str">
        <x:v>sour</x:v>
      </x:c>
      <x:c r="F763" s="28" t="str">
        <x:v>/ˈsaʊə(r)/</x:v>
      </x:c>
      <x:c r="G763" s="40" t="str">
        <x:v>酸的；有酸味的</x:v>
      </x:c>
      <x:c r="H763" s="68"/>
      <x:c r="I763" s="39" t="str">
        <x:v>she</x:v>
      </x:c>
      <x:c r="J763" s="28" t="str">
        <x:v>/ʃiː/</x:v>
      </x:c>
      <x:c r="K763" s="40" t="str">
        <x:v>她</x:v>
      </x:c>
    </x:row>
    <x:row r="764" ht="20" customHeight="1">
      <x:c r="A764" s="37" t="str">
        <x:v>sad</x:v>
      </x:c>
      <x:c r="B764" s="21" t="str">
        <x:v>/sæd/</x:v>
      </x:c>
      <x:c r="C764" s="38" t="str">
        <x:v>伤心的；难过的</x:v>
      </x:c>
      <x:c r="D764" s="68"/>
      <x:c r="E764" s="37" t="str">
        <x:v>special</x:v>
      </x:c>
      <x:c r="F764" s="21" t="str">
        <x:v>/ˈspeʃl/</x:v>
      </x:c>
      <x:c r="G764" s="38" t="str">
        <x:v>特殊的；特别的</x:v>
      </x:c>
      <x:c r="H764" s="68"/>
      <x:c r="I764" s="37" t="str">
        <x:v>herself</x:v>
      </x:c>
      <x:c r="J764" s="21" t="str">
        <x:v>/hɜːˈself/</x:v>
      </x:c>
      <x:c r="K764" s="38" t="str">
        <x:v>她自己</x:v>
      </x:c>
    </x:row>
    <x:row r="765" ht="20" customHeight="1">
      <x:c r="A765" s="39" t="str">
        <x:v>safe</x:v>
      </x:c>
      <x:c r="B765" s="28" t="str">
        <x:v>/seɪf/</x:v>
      </x:c>
      <x:c r="C765" s="40" t="str">
        <x:v>安全的</x:v>
      </x:c>
      <x:c r="D765" s="68"/>
      <x:c r="E765" s="39" t="str">
        <x:v>spicy</x:v>
      </x:c>
      <x:c r="F765" s="28" t="str">
        <x:v>/ˈspaɪsi/</x:v>
      </x:c>
      <x:c r="G765" s="40" t="str">
        <x:v>辛辣的</x:v>
      </x:c>
      <x:c r="H765" s="68"/>
      <x:c r="I765" s="39" t="str">
        <x:v>some</x:v>
      </x:c>
      <x:c r="J765" s="28" t="str">
        <x:v>/sʌm/</x:v>
      </x:c>
      <x:c r="K765" s="40" t="str">
        <x:v>一些；某些</x:v>
      </x:c>
    </x:row>
    <x:row r="766" ht="20" customHeight="1">
      <x:c r="A766" s="37" t="str">
        <x:v>same</x:v>
      </x:c>
      <x:c r="B766" s="21" t="str">
        <x:v>/seɪm/</x:v>
      </x:c>
      <x:c r="C766" s="38" t="str">
        <x:v>相同的；同一的</x:v>
      </x:c>
      <x:c r="D766" s="68"/>
      <x:c r="E766" s="37" t="str">
        <x:v>square</x:v>
      </x:c>
      <x:c r="F766" s="21" t="str">
        <x:v>/skweə(r)/</x:v>
      </x:c>
      <x:c r="G766" s="38" t="str">
        <x:v>正方形的</x:v>
      </x:c>
      <x:c r="H766" s="68"/>
      <x:c r="I766" s="37" t="str">
        <x:v>someone</x:v>
      </x:c>
      <x:c r="J766" s="21" t="str">
        <x:v>/ˈsʌmwʌn/</x:v>
      </x:c>
      <x:c r="K766" s="38" t="str">
        <x:v>某人；有人</x:v>
      </x:c>
    </x:row>
    <x:row r="767" ht="20" customHeight="1">
      <x:c r="A767" s="39" t="str">
        <x:v>salty</x:v>
      </x:c>
      <x:c r="B767" s="28" t="str">
        <x:v>/ˈsɔːlti/</x:v>
      </x:c>
      <x:c r="C767" s="40" t="str">
        <x:v>咸的</x:v>
      </x:c>
      <x:c r="D767" s="68"/>
      <x:c r="E767" s="39" t="str">
        <x:v>straight</x:v>
      </x:c>
      <x:c r="F767" s="28" t="str">
        <x:v>/streɪt/</x:v>
      </x:c>
      <x:c r="G767" s="40" t="str">
        <x:v>直的；笔直的</x:v>
      </x:c>
      <x:c r="H767" s="68"/>
      <x:c r="I767" s="39" t="str">
        <x:v>something</x:v>
      </x:c>
      <x:c r="J767" s="28" t="str">
        <x:v>/ˈsʌmθɪŋ/</x:v>
      </x:c>
      <x:c r="K767" s="40" t="str">
        <x:v>某事；某物</x:v>
      </x:c>
    </x:row>
    <x:row r="768" ht="20" customHeight="1">
      <x:c r="A768" s="37" t="str">
        <x:v>same</x:v>
      </x:c>
      <x:c r="B768" s="21" t="str">
        <x:v>/seɪm/</x:v>
      </x:c>
      <x:c r="C768" s="38" t="str">
        <x:v>同样的</x:v>
      </x:c>
      <x:c r="D768" s="68"/>
      <x:c r="E768" s="37" t="str">
        <x:v>strange</x:v>
      </x:c>
      <x:c r="F768" s="21" t="str">
        <x:v>/streɪndʒ/</x:v>
      </x:c>
      <x:c r="G768" s="38" t="str">
        <x:v>奇怪的；陌生的</x:v>
      </x:c>
      <x:c r="H768" s="68"/>
      <x:c r="I768" s="37" t="str">
        <x:v>somewhere</x:v>
      </x:c>
      <x:c r="J768" s="21" t="str">
        <x:v>/ˈsʌmweə(r)/</x:v>
      </x:c>
      <x:c r="K768" s="38" t="str">
        <x:v>某处；某地</x:v>
      </x:c>
    </x:row>
    <x:row r="769" ht="20" customHeight="1">
      <x:c r="A769" s="39" t="str">
        <x:v>scared</x:v>
      </x:c>
      <x:c r="B769" s="28" t="str">
        <x:v>/skeəd/</x:v>
      </x:c>
      <x:c r="C769" s="40" t="str">
        <x:v>害怕的；恐惧的</x:v>
      </x:c>
      <x:c r="D769" s="68"/>
      <x:c r="E769" s="39" t="str">
        <x:v>strong</x:v>
      </x:c>
      <x:c r="F769" s="28" t="str">
        <x:v>/strɒŋ/</x:v>
      </x:c>
      <x:c r="G769" s="40" t="str">
        <x:v>强壮的；强烈的</x:v>
      </x:c>
      <x:c r="H769" s="68"/>
      <x:c r="I769" s="39" t="str">
        <x:v>such</x:v>
      </x:c>
      <x:c r="J769" s="28" t="str">
        <x:v>/sʌtʃ/</x:v>
      </x:c>
      <x:c r="K769" s="40" t="str">
        <x:v>这样的；那样的</x:v>
      </x:c>
    </x:row>
    <x:row r="770" ht="17" customHeight="1">
      <x:c r="A770" s="37" t="str">
        <x:v>serious</x:v>
      </x:c>
      <x:c r="B770" s="21" t="str">
        <x:v>/ˈsɪəriəs/</x:v>
      </x:c>
      <x:c r="C770" s="38" t="str">
        <x:v>严肃的；认真的</x:v>
      </x:c>
      <x:c r="D770" s="68"/>
      <x:c r="E770" s="37" t="str">
        <x:v>stupid</x:v>
      </x:c>
      <x:c r="F770" s="21" t="str">
        <x:v>/ˈstjuːpɪd/</x:v>
      </x:c>
      <x:c r="G770" s="38" t="str">
        <x:v>愚蠢的；傻的</x:v>
      </x:c>
      <x:c r="H770" s="68"/>
      <x:c r="I770" s="73" t="str">
        <x:v>数词（6）</x:v>
      </x:c>
      <x:c r="J770" s="68"/>
      <x:c r="K770" s="74"/>
    </x:row>
    <x:row r="771" ht="20" customHeight="1">
      <x:c r="A771" s="39" t="str">
        <x:v>sharp</x:v>
      </x:c>
      <x:c r="B771" s="28" t="str">
        <x:v>/ʃɑːp/</x:v>
      </x:c>
      <x:c r="C771" s="40" t="str">
        <x:v>锋利的；尖锐的</x:v>
      </x:c>
      <x:c r="D771" s="68"/>
      <x:c r="E771" s="39" t="str">
        <x:v>sudden</x:v>
      </x:c>
      <x:c r="F771" s="28" t="str">
        <x:v>/ˈsʌdn/</x:v>
      </x:c>
      <x:c r="G771" s="40" t="str">
        <x:v>突然的</x:v>
      </x:c>
      <x:c r="H771" s="68"/>
      <x:c r="I771" s="39" t="str">
        <x:v>seven</x:v>
      </x:c>
      <x:c r="J771" s="28" t="str">
        <x:v>/ˈsevn/</x:v>
      </x:c>
      <x:c r="K771" s="40" t="str">
        <x:v>七</x:v>
      </x:c>
    </x:row>
    <x:row r="772" ht="20" customHeight="1">
      <x:c r="A772" s="37" t="str">
        <x:v>shy</x:v>
      </x:c>
      <x:c r="B772" s="21" t="str">
        <x:v>/ʃaɪ/</x:v>
      </x:c>
      <x:c r="C772" s="38" t="str">
        <x:v>羞怯的；腼腆的</x:v>
      </x:c>
      <x:c r="D772" s="68"/>
      <x:c r="E772" s="37" t="str">
        <x:v>sunny</x:v>
      </x:c>
      <x:c r="F772" s="21" t="str">
        <x:v>/ˈsʌni/</x:v>
      </x:c>
      <x:c r="G772" s="38" t="str">
        <x:v>晴朗的；阳光充足的</x:v>
      </x:c>
      <x:c r="H772" s="68"/>
      <x:c r="I772" s="37" t="str">
        <x:v>seventeen</x:v>
      </x:c>
      <x:c r="J772" s="21" t="str">
        <x:v>/ˌsevnˈtiːn/</x:v>
      </x:c>
      <x:c r="K772" s="38" t="str">
        <x:v>十七</x:v>
      </x:c>
    </x:row>
    <x:row r="773" ht="20" customHeight="1">
      <x:c r="A773" s="39" t="str">
        <x:v>sick</x:v>
      </x:c>
      <x:c r="B773" s="28" t="str">
        <x:v>/sɪk/</x:v>
      </x:c>
      <x:c r="C773" s="40" t="str">
        <x:v>生病的；不舒服的</x:v>
      </x:c>
      <x:c r="D773" s="68"/>
      <x:c r="E773" s="39" t="str">
        <x:v>sure</x:v>
      </x:c>
      <x:c r="F773" s="28" t="str">
        <x:v>/ʃʊə(r)/</x:v>
      </x:c>
      <x:c r="G773" s="40" t="str">
        <x:v>确信的；肯定的</x:v>
      </x:c>
      <x:c r="H773" s="68"/>
      <x:c r="I773" s="39" t="str">
        <x:v>seventy</x:v>
      </x:c>
      <x:c r="J773" s="28" t="str">
        <x:v>/ˈsevnti/</x:v>
      </x:c>
      <x:c r="K773" s="40" t="str">
        <x:v>七十</x:v>
      </x:c>
    </x:row>
    <x:row r="774" ht="20" customHeight="1">
      <x:c r="A774" s="37" t="str">
        <x:v>silent</x:v>
      </x:c>
      <x:c r="B774" s="21" t="str">
        <x:v>/ˈsaɪlənt/</x:v>
      </x:c>
      <x:c r="C774" s="38" t="str">
        <x:v>沉默的；无声的</x:v>
      </x:c>
      <x:c r="D774" s="68"/>
      <x:c r="E774" s="37" t="str">
        <x:v>sweet</x:v>
      </x:c>
      <x:c r="F774" s="21" t="str">
        <x:v>/swiːt/</x:v>
      </x:c>
      <x:c r="G774" s="38" t="str">
        <x:v>甜的；可爱的</x:v>
      </x:c>
      <x:c r="H774" s="68"/>
      <x:c r="I774" s="37" t="str">
        <x:v>sixth</x:v>
      </x:c>
      <x:c r="J774" s="21" t="str">
        <x:v>/sɪksθ/</x:v>
      </x:c>
      <x:c r="K774" s="38" t="str">
        <x:v>第六</x:v>
      </x:c>
    </x:row>
    <x:row r="775" ht="20" customHeight="1">
      <x:c r="A775" s="39" t="str">
        <x:v>silly</x:v>
      </x:c>
      <x:c r="B775" s="28" t="str">
        <x:v>/ˈsɪli/</x:v>
      </x:c>
      <x:c r="C775" s="40" t="str">
        <x:v>愚蠢的；傻的</x:v>
      </x:c>
      <x:c r="D775" s="68"/>
      <x:c r="E775" s="39" t="str">
        <x:v>social</x:v>
      </x:c>
      <x:c r="F775" s="28" t="str">
        <x:v>/ˈsəʊʃl/</x:v>
      </x:c>
      <x:c r="G775" s="40" t="str">
        <x:v>社会的；社交的</x:v>
      </x:c>
      <x:c r="H775" s="68"/>
      <x:c r="I775" s="39" t="str">
        <x:v>sixteen</x:v>
      </x:c>
      <x:c r="J775" s="28" t="str">
        <x:v>/ˌsɪksˈtiːn/</x:v>
      </x:c>
      <x:c r="K775" s="40" t="str">
        <x:v>十六</x:v>
      </x:c>
    </x:row>
    <x:row r="776" ht="20" customHeight="1">
      <x:c r="A776" s="37" t="str">
        <x:v>simple</x:v>
      </x:c>
      <x:c r="B776" s="21" t="str">
        <x:v>/ˈsɪmpl/</x:v>
      </x:c>
      <x:c r="C776" s="38" t="str">
        <x:v>简单的；简易的</x:v>
      </x:c>
      <x:c r="D776" s="68"/>
      <x:c r="E776" s="73" t="str">
        <x:v>副词（7）</x:v>
      </x:c>
      <x:c r="F776" s="68"/>
      <x:c r="G776" s="74"/>
      <x:c r="H776" s="68"/>
      <x:c r="I776" s="37" t="str">
        <x:v>sixty</x:v>
      </x:c>
      <x:c r="J776" s="21" t="str">
        <x:v>/ˈsɪksti/</x:v>
      </x:c>
      <x:c r="K776" s="38" t="str">
        <x:v>六十</x:v>
      </x:c>
    </x:row>
    <x:row r="777" ht="17" customHeight="1">
      <x:c r="A777" s="39" t="str">
        <x:v>slow</x:v>
      </x:c>
      <x:c r="B777" s="28" t="str">
        <x:v>/sləʊ/</x:v>
      </x:c>
      <x:c r="C777" s="40" t="str">
        <x:v>慢的；缓慢的</x:v>
      </x:c>
      <x:c r="D777" s="68"/>
      <x:c r="E777" s="39" t="str">
        <x:v>sometimes</x:v>
      </x:c>
      <x:c r="F777" s="28" t="str">
        <x:v>/ˈsʌmtaɪmz/</x:v>
      </x:c>
      <x:c r="G777" s="40" t="str">
        <x:v>有时；不时</x:v>
      </x:c>
      <x:c r="H777" s="68"/>
      <x:c r="I777" s="73" t="str">
        <x:v>感叹词（2）</x:v>
      </x:c>
      <x:c r="J777" s="68"/>
      <x:c r="K777" s="74"/>
    </x:row>
    <x:row r="778" ht="20" customHeight="1">
      <x:c r="A778" s="37" t="str">
        <x:v>small</x:v>
      </x:c>
      <x:c r="B778" s="21" t="str">
        <x:v>/smɔːl/</x:v>
      </x:c>
      <x:c r="C778" s="38" t="str">
        <x:v>小的</x:v>
      </x:c>
      <x:c r="D778" s="68"/>
      <x:c r="E778" s="37" t="str">
        <x:v>soon</x:v>
      </x:c>
      <x:c r="F778" s="21" t="str">
        <x:v>/suːn/</x:v>
      </x:c>
      <x:c r="G778" s="38" t="str">
        <x:v>不久；很快</x:v>
      </x:c>
      <x:c r="H778" s="68"/>
      <x:c r="I778" s="37" t="str">
        <x:v>see</x:v>
      </x:c>
      <x:c r="J778" s="21" t="str">
        <x:v>/siː/</x:v>
      </x:c>
      <x:c r="K778" s="38" t="str">
        <x:v>（口语）明白；知道</x:v>
      </x:c>
    </x:row>
    <x:row r="779" ht="20" customHeight="1">
      <x:c r="A779" s="39" t="str">
        <x:v>smart</x:v>
      </x:c>
      <x:c r="B779" s="28" t="str">
        <x:v>/smɑːt/</x:v>
      </x:c>
      <x:c r="C779" s="40" t="str">
        <x:v>聪明的；机灵的</x:v>
      </x:c>
      <x:c r="D779" s="68"/>
      <x:c r="E779" s="39" t="str">
        <x:v>still</x:v>
      </x:c>
      <x:c r="F779" s="28" t="str">
        <x:v>/stɪl/</x:v>
      </x:c>
      <x:c r="G779" s="40" t="str">
        <x:v>仍然；依旧</x:v>
      </x:c>
      <x:c r="H779" s="68"/>
      <x:c r="I779" s="39" t="str">
        <x:v>sure</x:v>
      </x:c>
      <x:c r="J779" s="28" t="str">
        <x:v>/ʃʊə(r)/</x:v>
      </x:c>
      <x:c r="K779" s="40" t="str">
        <x:v>当然；行</x:v>
      </x:c>
    </x:row>
    <x:row r="780" ht="17" customHeight="1">
      <x:c r="A780" s="37" t="str">
        <x:v>smooth</x:v>
      </x:c>
      <x:c r="B780" s="21" t="str">
        <x:v>/smuːð/</x:v>
      </x:c>
      <x:c r="C780" s="38" t="str">
        <x:v>光滑的；平坦的</x:v>
      </x:c>
      <x:c r="D780" s="68"/>
      <x:c r="E780" s="37" t="str">
        <x:v>straight</x:v>
      </x:c>
      <x:c r="F780" s="21" t="str">
        <x:v>/streɪt/</x:v>
      </x:c>
      <x:c r="G780" s="38" t="str">
        <x:v>直地；笔直地</x:v>
      </x:c>
      <x:c r="H780" s="68"/>
      <x:c r="I780" s="73" t="str">
        <x:v>短语（14）</x:v>
      </x:c>
      <x:c r="J780" s="68"/>
      <x:c r="K780" s="74"/>
    </x:row>
    <x:row r="781" ht="20" customHeight="1">
      <x:c r="A781" s="39" t="str">
        <x:v>snowy</x:v>
      </x:c>
      <x:c r="B781" s="28" t="str">
        <x:v>/ˈsnəʊi/</x:v>
      </x:c>
      <x:c r="C781" s="40" t="str">
        <x:v>多雪的；下雪的</x:v>
      </x:c>
      <x:c r="D781" s="68"/>
      <x:c r="E781" s="39" t="str">
        <x:v>suddenly</x:v>
      </x:c>
      <x:c r="F781" s="28" t="str">
        <x:v>/ˈsʌdənli/</x:v>
      </x:c>
      <x:c r="G781" s="40" t="str">
        <x:v>突然地</x:v>
      </x:c>
      <x:c r="H781" s="68"/>
      <x:c r="I781" s="39" t="str">
        <x:v>be</x:v>
      </x:c>
      <x:c r="J781" s="28" t="str"/>
      <x:c r="K781" s="40" t="str">
        <x:v>good at 擅长</x:v>
      </x:c>
    </x:row>
    <x:row r="782" ht="20" customHeight="1">
      <x:c r="A782" s="41" t="str">
        <x:v>soft</x:v>
      </x:c>
      <x:c r="B782" s="42" t="str">
        <x:v>/sɒft/</x:v>
      </x:c>
      <x:c r="C782" s="43" t="str">
        <x:v>软的；柔软的</x:v>
      </x:c>
      <x:c r="D782" s="68"/>
      <x:c r="E782" s="41" t="str">
        <x:v>soon</x:v>
      </x:c>
      <x:c r="F782" s="42" t="str">
        <x:v>/suːn/</x:v>
      </x:c>
      <x:c r="G782" s="43" t="str">
        <x:v>不久；很快</x:v>
      </x:c>
      <x:c r="H782" s="68"/>
      <x:c r="I782" s="41" t="str">
        <x:v>be</x:v>
      </x:c>
      <x:c r="J782" s="42" t="str"/>
      <x:c r="K782" s="43" t="str">
        <x:v>proud of 为……而自豪</x:v>
      </x:c>
    </x:row>
    <x:row r="783">
      <x:c r="A783" s="68"/>
      <x:c r="B783" s="68"/>
      <x:c r="C783" s="68"/>
      <x:c r="D783" s="68"/>
      <x:c r="E783" s="68"/>
      <x:c r="F783" s="68"/>
      <x:c r="G783" s="68"/>
      <x:c r="H783" s="68"/>
      <x:c r="I783" s="68"/>
      <x:c r="J783" s="68"/>
      <x:c r="K783" s="68"/>
    </x:row>
    <x:row r="784" ht="27" customHeight="1">
      <x:c r="A784" s="65" t="str">
        <x:v>S 开头单词（4/4）</x:v>
      </x:c>
      <x:c r="B784" s="66"/>
      <x:c r="C784" s="67"/>
      <x:c r="D784" s="68"/>
      <x:c r="E784" s="69"/>
      <x:c r="F784" s="66"/>
      <x:c r="G784" s="67"/>
      <x:c r="H784" s="68"/>
      <x:c r="I784" s="69"/>
      <x:c r="J784" s="66"/>
      <x:c r="K784" s="67"/>
    </x:row>
    <x:row r="785" ht="19" customHeight="1">
      <x:c r="A785" s="70" t="str">
        <x:v>英文单词 / 短语</x:v>
      </x:c>
      <x:c r="B785" s="71" t="str">
        <x:v>音标</x:v>
      </x:c>
      <x:c r="C785" s="72" t="str">
        <x:v>中文解释</x:v>
      </x:c>
      <x:c r="D785" s="68"/>
      <x:c r="E785" s="70" t="str">
        <x:v>英文单词 / 短语</x:v>
      </x:c>
      <x:c r="F785" s="71" t="str">
        <x:v>音标</x:v>
      </x:c>
      <x:c r="G785" s="72" t="str">
        <x:v>中文解释</x:v>
      </x:c>
      <x:c r="H785" s="68"/>
      <x:c r="I785" s="70" t="str">
        <x:v>英文单词 / 短语</x:v>
      </x:c>
      <x:c r="J785" s="71" t="str">
        <x:v>音标</x:v>
      </x:c>
      <x:c r="K785" s="72" t="str">
        <x:v>中文解释</x:v>
      </x:c>
    </x:row>
    <x:row r="786" ht="20" customHeight="1">
      <x:c r="A786" s="39" t="str">
        <x:v>go</x:v>
      </x:c>
      <x:c r="B786" s="28" t="str"/>
      <x:c r="C786" s="40" t="str">
        <x:v>shopping 去买东西；去购物</x:v>
      </x:c>
      <x:c r="D786" s="68"/>
      <x:c r="E786" s="75"/>
      <x:c r="F786" s="68"/>
      <x:c r="G786" s="74"/>
      <x:c r="H786" s="68"/>
      <x:c r="I786" s="75"/>
      <x:c r="J786" s="68"/>
      <x:c r="K786" s="74"/>
    </x:row>
    <x:row r="787" ht="20" customHeight="1">
      <x:c r="A787" s="37" t="str">
        <x:v>in</x:v>
      </x:c>
      <x:c r="B787" s="21" t="str"/>
      <x:c r="C787" s="38" t="str">
        <x:v>silence 安静地；沉默地</x:v>
      </x:c>
      <x:c r="D787" s="68"/>
      <x:c r="E787" s="75"/>
      <x:c r="F787" s="68"/>
      <x:c r="G787" s="74"/>
      <x:c r="H787" s="68"/>
      <x:c r="I787" s="75"/>
      <x:c r="J787" s="68"/>
      <x:c r="K787" s="74"/>
    </x:row>
    <x:row r="788" ht="20" customHeight="1">
      <x:c r="A788" s="39" t="str">
        <x:v>in</x:v>
      </x:c>
      <x:c r="B788" s="28" t="str"/>
      <x:c r="C788" s="40" t="str">
        <x:v>surprise 惊奇地；惊讶地</x:v>
      </x:c>
      <x:c r="D788" s="68"/>
      <x:c r="E788" s="75"/>
      <x:c r="F788" s="68"/>
      <x:c r="G788" s="74"/>
      <x:c r="H788" s="68"/>
      <x:c r="I788" s="75"/>
      <x:c r="J788" s="68"/>
      <x:c r="K788" s="74"/>
    </x:row>
    <x:row r="789" ht="20" customHeight="1">
      <x:c r="A789" s="37" t="str">
        <x:v>keep</x:v>
      </x:c>
      <x:c r="B789" s="21" t="str"/>
      <x:c r="C789" s="38" t="str">
        <x:v>in touch (with sb.) 保持联系</x:v>
      </x:c>
      <x:c r="D789" s="68"/>
      <x:c r="E789" s="75"/>
      <x:c r="F789" s="68"/>
      <x:c r="G789" s="74"/>
      <x:c r="H789" s="68"/>
      <x:c r="I789" s="75"/>
      <x:c r="J789" s="68"/>
      <x:c r="K789" s="74"/>
    </x:row>
    <x:row r="790" ht="20" customHeight="1">
      <x:c r="A790" s="39" t="str">
        <x:v>shake</x:v>
      </x:c>
      <x:c r="B790" s="28" t="str"/>
      <x:c r="C790" s="40" t="str">
        <x:v>hands 握手</x:v>
      </x:c>
      <x:c r="D790" s="68"/>
      <x:c r="E790" s="75"/>
      <x:c r="F790" s="68"/>
      <x:c r="G790" s="74"/>
      <x:c r="H790" s="68"/>
      <x:c r="I790" s="75"/>
      <x:c r="J790" s="68"/>
      <x:c r="K790" s="74"/>
    </x:row>
    <x:row r="791" ht="20" customHeight="1">
      <x:c r="A791" s="37" t="str">
        <x:v>side</x:v>
      </x:c>
      <x:c r="B791" s="21" t="str"/>
      <x:c r="C791" s="38" t="str">
        <x:v>by side 并排地；肩并肩地</x:v>
      </x:c>
      <x:c r="D791" s="68"/>
      <x:c r="E791" s="75"/>
      <x:c r="F791" s="68"/>
      <x:c r="G791" s="74"/>
      <x:c r="H791" s="68"/>
      <x:c r="I791" s="75"/>
      <x:c r="J791" s="68"/>
      <x:c r="K791" s="74"/>
    </x:row>
    <x:row r="792" ht="20" customHeight="1">
      <x:c r="A792" s="39" t="str">
        <x:v>solar</x:v>
      </x:c>
      <x:c r="B792" s="28" t="str"/>
      <x:c r="C792" s="40" t="str">
        <x:v>system 太阳系</x:v>
      </x:c>
      <x:c r="D792" s="68"/>
      <x:c r="E792" s="75"/>
      <x:c r="F792" s="68"/>
      <x:c r="G792" s="74"/>
      <x:c r="H792" s="68"/>
      <x:c r="I792" s="75"/>
      <x:c r="J792" s="68"/>
      <x:c r="K792" s="74"/>
    </x:row>
    <x:row r="793" ht="20" customHeight="1">
      <x:c r="A793" s="37" t="str">
        <x:v>speak</x:v>
      </x:c>
      <x:c r="B793" s="21" t="str"/>
      <x:c r="C793" s="38" t="str">
        <x:v>up 大声说出来</x:v>
      </x:c>
      <x:c r="D793" s="68"/>
      <x:c r="E793" s="75"/>
      <x:c r="F793" s="68"/>
      <x:c r="G793" s="74"/>
      <x:c r="H793" s="68"/>
      <x:c r="I793" s="75"/>
      <x:c r="J793" s="68"/>
      <x:c r="K793" s="74"/>
    </x:row>
    <x:row r="794" ht="20" customHeight="1">
      <x:c r="A794" s="39" t="str">
        <x:v>stand</x:v>
      </x:c>
      <x:c r="B794" s="28" t="str"/>
      <x:c r="C794" s="40" t="str">
        <x:v>up 起立；站起来</x:v>
      </x:c>
      <x:c r="D794" s="68"/>
      <x:c r="E794" s="75"/>
      <x:c r="F794" s="68"/>
      <x:c r="G794" s="74"/>
      <x:c r="H794" s="68"/>
      <x:c r="I794" s="75"/>
      <x:c r="J794" s="68"/>
      <x:c r="K794" s="74"/>
    </x:row>
    <x:row r="795" ht="20" customHeight="1">
      <x:c r="A795" s="37" t="str">
        <x:v>stay</x:v>
      </x:c>
      <x:c r="B795" s="21" t="str"/>
      <x:c r="C795" s="38" t="str">
        <x:v>in touch (with sb.) 保持联系</x:v>
      </x:c>
      <x:c r="D795" s="68"/>
      <x:c r="E795" s="75"/>
      <x:c r="F795" s="68"/>
      <x:c r="G795" s="74"/>
      <x:c r="H795" s="68"/>
      <x:c r="I795" s="75"/>
      <x:c r="J795" s="68"/>
      <x:c r="K795" s="74"/>
    </x:row>
    <x:row r="796" ht="20" customHeight="1">
      <x:c r="A796" s="39" t="str">
        <x:v>such</x:v>
      </x:c>
      <x:c r="B796" s="28" t="str"/>
      <x:c r="C796" s="40" t="str">
        <x:v>as 例如；比如</x:v>
      </x:c>
      <x:c r="D796" s="68"/>
      <x:c r="E796" s="75"/>
      <x:c r="F796" s="68"/>
      <x:c r="G796" s="74"/>
      <x:c r="H796" s="68"/>
      <x:c r="I796" s="75"/>
      <x:c r="J796" s="68"/>
      <x:c r="K796" s="74"/>
    </x:row>
    <x:row r="797" ht="20" customHeight="1">
      <x:c r="A797" s="37" t="str">
        <x:v>do</x:v>
      </x:c>
      <x:c r="B797" s="21" t="str"/>
      <x:c r="C797" s="38" t="str">
        <x:v>some shopping 购物</x:v>
      </x:c>
      <x:c r="D797" s="68"/>
      <x:c r="E797" s="75"/>
      <x:c r="F797" s="68"/>
      <x:c r="G797" s="74"/>
      <x:c r="H797" s="68"/>
      <x:c r="I797" s="75"/>
      <x:c r="J797" s="68"/>
      <x:c r="K797" s="74"/>
    </x:row>
    <x:row r="798">
      <x:c r="A798" s="75"/>
      <x:c r="B798" s="68"/>
      <x:c r="C798" s="74"/>
      <x:c r="D798" s="68"/>
      <x:c r="E798" s="75"/>
      <x:c r="F798" s="68"/>
      <x:c r="G798" s="74"/>
      <x:c r="H798" s="68"/>
      <x:c r="I798" s="75"/>
      <x:c r="J798" s="68"/>
      <x:c r="K798" s="74"/>
    </x:row>
    <x:row r="799">
      <x:c r="A799" s="75"/>
      <x:c r="B799" s="68"/>
      <x:c r="C799" s="74"/>
      <x:c r="D799" s="68"/>
      <x:c r="E799" s="75"/>
      <x:c r="F799" s="68"/>
      <x:c r="G799" s="74"/>
      <x:c r="H799" s="68"/>
      <x:c r="I799" s="75"/>
      <x:c r="J799" s="68"/>
      <x:c r="K799" s="74"/>
    </x:row>
    <x:row r="800">
      <x:c r="A800" s="75"/>
      <x:c r="B800" s="68"/>
      <x:c r="C800" s="74"/>
      <x:c r="D800" s="68"/>
      <x:c r="E800" s="75"/>
      <x:c r="F800" s="68"/>
      <x:c r="G800" s="74"/>
      <x:c r="H800" s="68"/>
      <x:c r="I800" s="75"/>
      <x:c r="J800" s="68"/>
      <x:c r="K800" s="74"/>
    </x:row>
    <x:row r="801">
      <x:c r="A801" s="75"/>
      <x:c r="B801" s="68"/>
      <x:c r="C801" s="74"/>
      <x:c r="D801" s="68"/>
      <x:c r="E801" s="75"/>
      <x:c r="F801" s="68"/>
      <x:c r="G801" s="74"/>
      <x:c r="H801" s="68"/>
      <x:c r="I801" s="75"/>
      <x:c r="J801" s="68"/>
      <x:c r="K801" s="74"/>
    </x:row>
    <x:row r="802">
      <x:c r="A802" s="75"/>
      <x:c r="B802" s="68"/>
      <x:c r="C802" s="74"/>
      <x:c r="D802" s="68"/>
      <x:c r="E802" s="75"/>
      <x:c r="F802" s="68"/>
      <x:c r="G802" s="74"/>
      <x:c r="H802" s="68"/>
      <x:c r="I802" s="75"/>
      <x:c r="J802" s="68"/>
      <x:c r="K802" s="74"/>
    </x:row>
    <x:row r="803">
      <x:c r="A803" s="75"/>
      <x:c r="B803" s="68"/>
      <x:c r="C803" s="74"/>
      <x:c r="D803" s="68"/>
      <x:c r="E803" s="75"/>
      <x:c r="F803" s="68"/>
      <x:c r="G803" s="74"/>
      <x:c r="H803" s="68"/>
      <x:c r="I803" s="75"/>
      <x:c r="J803" s="68"/>
      <x:c r="K803" s="74"/>
    </x:row>
    <x:row r="804">
      <x:c r="A804" s="75"/>
      <x:c r="B804" s="68"/>
      <x:c r="C804" s="74"/>
      <x:c r="D804" s="68"/>
      <x:c r="E804" s="75"/>
      <x:c r="F804" s="68"/>
      <x:c r="G804" s="74"/>
      <x:c r="H804" s="68"/>
      <x:c r="I804" s="75"/>
      <x:c r="J804" s="68"/>
      <x:c r="K804" s="74"/>
    </x:row>
    <x:row r="805">
      <x:c r="A805" s="75"/>
      <x:c r="B805" s="68"/>
      <x:c r="C805" s="74"/>
      <x:c r="D805" s="68"/>
      <x:c r="E805" s="75"/>
      <x:c r="F805" s="68"/>
      <x:c r="G805" s="74"/>
      <x:c r="H805" s="68"/>
      <x:c r="I805" s="75"/>
      <x:c r="J805" s="68"/>
      <x:c r="K805" s="74"/>
    </x:row>
    <x:row r="806">
      <x:c r="A806" s="75"/>
      <x:c r="B806" s="68"/>
      <x:c r="C806" s="74"/>
      <x:c r="D806" s="68"/>
      <x:c r="E806" s="75"/>
      <x:c r="F806" s="68"/>
      <x:c r="G806" s="74"/>
      <x:c r="H806" s="68"/>
      <x:c r="I806" s="75"/>
      <x:c r="J806" s="68"/>
      <x:c r="K806" s="74"/>
    </x:row>
    <x:row r="807">
      <x:c r="A807" s="75"/>
      <x:c r="B807" s="68"/>
      <x:c r="C807" s="74"/>
      <x:c r="D807" s="68"/>
      <x:c r="E807" s="75"/>
      <x:c r="F807" s="68"/>
      <x:c r="G807" s="74"/>
      <x:c r="H807" s="68"/>
      <x:c r="I807" s="75"/>
      <x:c r="J807" s="68"/>
      <x:c r="K807" s="74"/>
    </x:row>
    <x:row r="808">
      <x:c r="A808" s="75"/>
      <x:c r="B808" s="68"/>
      <x:c r="C808" s="74"/>
      <x:c r="D808" s="68"/>
      <x:c r="E808" s="75"/>
      <x:c r="F808" s="68"/>
      <x:c r="G808" s="74"/>
      <x:c r="H808" s="68"/>
      <x:c r="I808" s="75"/>
      <x:c r="J808" s="68"/>
      <x:c r="K808" s="74"/>
    </x:row>
    <x:row r="809">
      <x:c r="A809" s="76"/>
      <x:c r="B809" s="77"/>
      <x:c r="C809" s="78"/>
      <x:c r="D809" s="68"/>
      <x:c r="E809" s="76"/>
      <x:c r="F809" s="77"/>
      <x:c r="G809" s="78"/>
      <x:c r="H809" s="68"/>
      <x:c r="I809" s="76"/>
      <x:c r="J809" s="77"/>
      <x:c r="K809" s="78"/>
    </x:row>
    <x:row r="810">
      <x:c r="A810" s="68"/>
      <x:c r="B810" s="68"/>
      <x:c r="C810" s="68"/>
      <x:c r="D810" s="68"/>
      <x:c r="E810" s="68"/>
      <x:c r="F810" s="68"/>
      <x:c r="G810" s="68"/>
      <x:c r="H810" s="68"/>
      <x:c r="I810" s="68"/>
      <x:c r="J810" s="68"/>
      <x:c r="K810" s="68"/>
    </x:row>
    <x:row r="811" ht="27" customHeight="1">
      <x:c r="A811" s="65" t="str">
        <x:v>T 开头单词（1/3）</x:v>
      </x:c>
      <x:c r="B811" s="66"/>
      <x:c r="C811" s="67"/>
      <x:c r="D811" s="68"/>
      <x:c r="E811" s="69"/>
      <x:c r="F811" s="66"/>
      <x:c r="G811" s="67"/>
      <x:c r="H811" s="68"/>
      <x:c r="I811" s="69"/>
      <x:c r="J811" s="66"/>
      <x:c r="K811" s="67"/>
    </x:row>
    <x:row r="812" ht="19" customHeight="1">
      <x:c r="A812" s="70" t="str">
        <x:v>英文单词 / 短语</x:v>
      </x:c>
      <x:c r="B812" s="71" t="str">
        <x:v>音标</x:v>
      </x:c>
      <x:c r="C812" s="72" t="str">
        <x:v>中文解释</x:v>
      </x:c>
      <x:c r="D812" s="68"/>
      <x:c r="E812" s="70" t="str">
        <x:v>英文单词 / 短语</x:v>
      </x:c>
      <x:c r="F812" s="71" t="str">
        <x:v>音标</x:v>
      </x:c>
      <x:c r="G812" s="72" t="str">
        <x:v>中文解释</x:v>
      </x:c>
      <x:c r="H812" s="68"/>
      <x:c r="I812" s="70" t="str">
        <x:v>英文单词 / 短语</x:v>
      </x:c>
      <x:c r="J812" s="71" t="str">
        <x:v>音标</x:v>
      </x:c>
      <x:c r="K812" s="72" t="str">
        <x:v>中文解释</x:v>
      </x:c>
    </x:row>
    <x:row r="813" ht="20" customHeight="1">
      <x:c r="A813" s="73" t="str">
        <x:v>名词（72）</x:v>
      </x:c>
      <x:c r="B813" s="68"/>
      <x:c r="C813" s="74"/>
      <x:c r="D813" s="68"/>
      <x:c r="E813" s="39" t="str">
        <x:v>this</x:v>
      </x:c>
      <x:c r="F813" s="28" t="str">
        <x:v>/ðɪs/</x:v>
      </x:c>
      <x:c r="G813" s="40" t="str">
        <x:v>这；这个（代词，不列名词）</x:v>
      </x:c>
      <x:c r="H813" s="68"/>
      <x:c r="I813" s="39" t="str">
        <x:v>tourist</x:v>
      </x:c>
      <x:c r="J813" s="28" t="str">
        <x:v>/ˈtʊərɪst/</x:v>
      </x:c>
      <x:c r="K813" s="40" t="str">
        <x:v>游客；旅游者</x:v>
      </x:c>
    </x:row>
    <x:row r="814" ht="20" customHeight="1">
      <x:c r="A814" s="37" t="str">
        <x:v>table</x:v>
      </x:c>
      <x:c r="B814" s="21" t="str">
        <x:v>/ˈteɪbl/</x:v>
      </x:c>
      <x:c r="C814" s="38" t="str">
        <x:v>桌子；餐桌</x:v>
      </x:c>
      <x:c r="D814" s="68"/>
      <x:c r="E814" s="37" t="str">
        <x:v>those</x:v>
      </x:c>
      <x:c r="F814" s="21" t="str">
        <x:v>/ðəʊz/</x:v>
      </x:c>
      <x:c r="G814" s="38" t="str">
        <x:v>那些（代词，不列名词）</x:v>
      </x:c>
      <x:c r="H814" s="68"/>
      <x:c r="I814" s="37" t="str">
        <x:v>towards</x:v>
      </x:c>
      <x:c r="J814" s="21" t="str">
        <x:v>/təˈwɔːdz/</x:v>
      </x:c>
      <x:c r="K814" s="38" t="str">
        <x:v>朝；向（介词，不列名词）</x:v>
      </x:c>
    </x:row>
    <x:row r="815" ht="20" customHeight="1">
      <x:c r="A815" s="39" t="str">
        <x:v>tail</x:v>
      </x:c>
      <x:c r="B815" s="28" t="str">
        <x:v>/teɪl/</x:v>
      </x:c>
      <x:c r="C815" s="40" t="str">
        <x:v>尾巴</x:v>
      </x:c>
      <x:c r="D815" s="68"/>
      <x:c r="E815" s="39" t="str">
        <x:v>though</x:v>
      </x:c>
      <x:c r="F815" s="28" t="str">
        <x:v>/ðəʊ/</x:v>
      </x:c>
      <x:c r="G815" s="40" t="str">
        <x:v>虽然；尽管（连词，不列名词）</x:v>
      </x:c>
      <x:c r="H815" s="68"/>
      <x:c r="I815" s="39" t="str">
        <x:v>town</x:v>
      </x:c>
      <x:c r="J815" s="28" t="str">
        <x:v>/taʊn/</x:v>
      </x:c>
      <x:c r="K815" s="40" t="str">
        <x:v>城镇；市镇</x:v>
      </x:c>
    </x:row>
    <x:row r="816" ht="20" customHeight="1">
      <x:c r="A816" s="37" t="str">
        <x:v>talk</x:v>
      </x:c>
      <x:c r="B816" s="21" t="str">
        <x:v>/tɔːk/</x:v>
      </x:c>
      <x:c r="C816" s="38" t="str">
        <x:v>谈话；交谈</x:v>
      </x:c>
      <x:c r="D816" s="68"/>
      <x:c r="E816" s="37" t="str">
        <x:v>thought</x:v>
      </x:c>
      <x:c r="F816" s="21" t="str">
        <x:v>/θɔːt/</x:v>
      </x:c>
      <x:c r="G816" s="38" t="str">
        <x:v>思想；想法</x:v>
      </x:c>
      <x:c r="H816" s="68"/>
      <x:c r="I816" s="37" t="str">
        <x:v>toy</x:v>
      </x:c>
      <x:c r="J816" s="21" t="str">
        <x:v>/tɔɪ/</x:v>
      </x:c>
      <x:c r="K816" s="38" t="str">
        <x:v>玩具</x:v>
      </x:c>
    </x:row>
    <x:row r="817" ht="20" customHeight="1">
      <x:c r="A817" s="39" t="str">
        <x:v>task</x:v>
      </x:c>
      <x:c r="B817" s="28" t="str">
        <x:v>/tɑːsk/</x:v>
      </x:c>
      <x:c r="C817" s="40" t="str">
        <x:v>任务；工作</x:v>
      </x:c>
      <x:c r="D817" s="68"/>
      <x:c r="E817" s="39" t="str">
        <x:v>thousand</x:v>
      </x:c>
      <x:c r="F817" s="28" t="str">
        <x:v>/ˈθaʊzənd/</x:v>
      </x:c>
      <x:c r="G817" s="40" t="str">
        <x:v>千</x:v>
      </x:c>
      <x:c r="H817" s="68"/>
      <x:c r="I817" s="39" t="str">
        <x:v>tradition</x:v>
      </x:c>
      <x:c r="J817" s="28" t="str">
        <x:v>/trəˈdɪʃn/</x:v>
      </x:c>
      <x:c r="K817" s="40" t="str">
        <x:v>传统；习俗</x:v>
      </x:c>
    </x:row>
    <x:row r="818" ht="20" customHeight="1">
      <x:c r="A818" s="37" t="str">
        <x:v>taste</x:v>
      </x:c>
      <x:c r="B818" s="21" t="str">
        <x:v>/teɪst/</x:v>
      </x:c>
      <x:c r="C818" s="38" t="str">
        <x:v>味道；滋味</x:v>
      </x:c>
      <x:c r="D818" s="68"/>
      <x:c r="E818" s="37" t="str">
        <x:v>thread</x:v>
      </x:c>
      <x:c r="F818" s="21" t="str">
        <x:v>/θred/</x:v>
      </x:c>
      <x:c r="G818" s="38" t="str">
        <x:v>线；线索</x:v>
      </x:c>
      <x:c r="H818" s="68"/>
      <x:c r="I818" s="37" t="str">
        <x:v>train</x:v>
      </x:c>
      <x:c r="J818" s="21" t="str">
        <x:v>/treɪn/</x:v>
      </x:c>
      <x:c r="K818" s="38" t="str">
        <x:v>火车；列车</x:v>
      </x:c>
    </x:row>
    <x:row r="819" ht="20" customHeight="1">
      <x:c r="A819" s="39" t="str">
        <x:v>taxi</x:v>
      </x:c>
      <x:c r="B819" s="28" t="str">
        <x:v>/ˈtæksi/</x:v>
      </x:c>
      <x:c r="C819" s="40" t="str">
        <x:v>出租车</x:v>
      </x:c>
      <x:c r="D819" s="68"/>
      <x:c r="E819" s="39" t="str">
        <x:v>three</x:v>
      </x:c>
      <x:c r="F819" s="28" t="str">
        <x:v>/θriː/</x:v>
      </x:c>
      <x:c r="G819" s="40" t="str">
        <x:v>三</x:v>
      </x:c>
      <x:c r="H819" s="68"/>
      <x:c r="I819" s="39" t="str">
        <x:v>training</x:v>
      </x:c>
      <x:c r="J819" s="28" t="str">
        <x:v>/ˈtreɪnɪŋ/</x:v>
      </x:c>
      <x:c r="K819" s="40" t="str">
        <x:v>训练；培训</x:v>
      </x:c>
    </x:row>
    <x:row r="820" ht="20" customHeight="1">
      <x:c r="A820" s="37" t="str">
        <x:v>tea</x:v>
      </x:c>
      <x:c r="B820" s="21" t="str">
        <x:v>/tiː/</x:v>
      </x:c>
      <x:c r="C820" s="38" t="str">
        <x:v>茶；茶叶</x:v>
      </x:c>
      <x:c r="D820" s="68"/>
      <x:c r="E820" s="37" t="str">
        <x:v>Thursday</x:v>
      </x:c>
      <x:c r="F820" s="21" t="str">
        <x:v>/ˈθɜːzdeɪ/</x:v>
      </x:c>
      <x:c r="G820" s="38" t="str">
        <x:v>星期四</x:v>
      </x:c>
      <x:c r="H820" s="68"/>
      <x:c r="I820" s="37" t="str">
        <x:v>travel</x:v>
      </x:c>
      <x:c r="J820" s="21" t="str">
        <x:v>/ˈtrævl/</x:v>
      </x:c>
      <x:c r="K820" s="38" t="str">
        <x:v>旅行；游历</x:v>
      </x:c>
    </x:row>
    <x:row r="821" ht="20" customHeight="1">
      <x:c r="A821" s="39" t="str">
        <x:v>teacher</x:v>
      </x:c>
      <x:c r="B821" s="28" t="str">
        <x:v>/ˈtiːtʃə/</x:v>
      </x:c>
      <x:c r="C821" s="40" t="str">
        <x:v>老师；教师</x:v>
      </x:c>
      <x:c r="D821" s="68"/>
      <x:c r="E821" s="39" t="str">
        <x:v>ticket</x:v>
      </x:c>
      <x:c r="F821" s="28" t="str">
        <x:v>/ˈtɪkɪt/</x:v>
      </x:c>
      <x:c r="G821" s="40" t="str">
        <x:v>票；入场券</x:v>
      </x:c>
      <x:c r="H821" s="68"/>
      <x:c r="I821" s="39" t="str">
        <x:v>tree</x:v>
      </x:c>
      <x:c r="J821" s="28" t="str">
        <x:v>/triː/</x:v>
      </x:c>
      <x:c r="K821" s="40" t="str">
        <x:v>树；树木</x:v>
      </x:c>
    </x:row>
    <x:row r="822" ht="20" customHeight="1">
      <x:c r="A822" s="37" t="str">
        <x:v>team</x:v>
      </x:c>
      <x:c r="B822" s="21" t="str">
        <x:v>/tiːm/</x:v>
      </x:c>
      <x:c r="C822" s="38" t="str">
        <x:v>队；球队</x:v>
      </x:c>
      <x:c r="D822" s="68"/>
      <x:c r="E822" s="37" t="str">
        <x:v>tiger</x:v>
      </x:c>
      <x:c r="F822" s="21" t="str">
        <x:v>/ˈtaɪɡə/</x:v>
      </x:c>
      <x:c r="G822" s="38" t="str">
        <x:v>老虎</x:v>
      </x:c>
      <x:c r="H822" s="68"/>
      <x:c r="I822" s="37" t="str">
        <x:v>trip</x:v>
      </x:c>
      <x:c r="J822" s="21" t="str">
        <x:v>/trɪp/</x:v>
      </x:c>
      <x:c r="K822" s="38" t="str">
        <x:v>旅行；短途行程</x:v>
      </x:c>
    </x:row>
    <x:row r="823" ht="20" customHeight="1">
      <x:c r="A823" s="39" t="str">
        <x:v>technology</x:v>
      </x:c>
      <x:c r="B823" s="28" t="str">
        <x:v>/tekˈnɒlədʒi/</x:v>
      </x:c>
      <x:c r="C823" s="40" t="str">
        <x:v>技术；工艺</x:v>
      </x:c>
      <x:c r="D823" s="68"/>
      <x:c r="E823" s="39" t="str">
        <x:v>time</x:v>
      </x:c>
      <x:c r="F823" s="28" t="str">
        <x:v>/taɪm/</x:v>
      </x:c>
      <x:c r="G823" s="40" t="str">
        <x:v>时间；次数</x:v>
      </x:c>
      <x:c r="H823" s="68"/>
      <x:c r="I823" s="39" t="str">
        <x:v>trouble</x:v>
      </x:c>
      <x:c r="J823" s="28" t="str">
        <x:v>/ˈtrʌbl/</x:v>
      </x:c>
      <x:c r="K823" s="40" t="str">
        <x:v>问题；烦恼；困难</x:v>
      </x:c>
    </x:row>
    <x:row r="824" ht="20" customHeight="1">
      <x:c r="A824" s="37" t="str">
        <x:v>telephone</x:v>
      </x:c>
      <x:c r="B824" s="21" t="str">
        <x:v>/ˈtelɪfəʊn/</x:v>
      </x:c>
      <x:c r="C824" s="38" t="str">
        <x:v>电话</x:v>
      </x:c>
      <x:c r="D824" s="68"/>
      <x:c r="E824" s="37" t="str">
        <x:v>tip</x:v>
      </x:c>
      <x:c r="F824" s="21" t="str">
        <x:v>/tɪp/</x:v>
      </x:c>
      <x:c r="G824" s="38" t="str">
        <x:v>小费；尖端</x:v>
      </x:c>
      <x:c r="H824" s="68"/>
      <x:c r="I824" s="37" t="str">
        <x:v>trousers</x:v>
      </x:c>
      <x:c r="J824" s="21" t="str">
        <x:v>/ˈtraʊzəz/</x:v>
      </x:c>
      <x:c r="K824" s="38" t="str">
        <x:v>裤子；长裤</x:v>
      </x:c>
    </x:row>
    <x:row r="825" ht="20" customHeight="1">
      <x:c r="A825" s="39" t="str">
        <x:v>television</x:v>
      </x:c>
      <x:c r="B825" s="28" t="str">
        <x:v>/ˈtelɪvɪʒn/</x:v>
      </x:c>
      <x:c r="C825" s="40" t="str">
        <x:v>电视；电视机</x:v>
      </x:c>
      <x:c r="D825" s="68"/>
      <x:c r="E825" s="39" t="str">
        <x:v>tired</x:v>
      </x:c>
      <x:c r="F825" s="28" t="str">
        <x:v>/ˈtaɪəd/</x:v>
      </x:c>
      <x:c r="G825" s="40" t="str">
        <x:v>疲劳的人（兼作形容词）</x:v>
      </x:c>
      <x:c r="H825" s="68"/>
      <x:c r="I825" s="39" t="str">
        <x:v>true</x:v>
      </x:c>
      <x:c r="J825" s="28" t="str">
        <x:v>/truː/</x:v>
      </x:c>
      <x:c r="K825" s="40" t="str">
        <x:v>真实的事物（兼作形容词）</x:v>
      </x:c>
    </x:row>
    <x:row r="826" ht="20" customHeight="1">
      <x:c r="A826" s="37" t="str">
        <x:v>temperature</x:v>
      </x:c>
      <x:c r="B826" s="21" t="str">
        <x:v>/ˈtemprətʃə/</x:v>
      </x:c>
      <x:c r="C826" s="38" t="str">
        <x:v>温度；气温</x:v>
      </x:c>
      <x:c r="D826" s="68"/>
      <x:c r="E826" s="37" t="str">
        <x:v>to</x:v>
      </x:c>
      <x:c r="F826" s="21" t="str">
        <x:v>/tuː/</x:v>
      </x:c>
      <x:c r="G826" s="38" t="str">
        <x:v>介词（不列名词）</x:v>
      </x:c>
      <x:c r="H826" s="68"/>
      <x:c r="I826" s="37" t="str">
        <x:v>trust</x:v>
      </x:c>
      <x:c r="J826" s="21" t="str">
        <x:v>/trʌst/</x:v>
      </x:c>
      <x:c r="K826" s="38" t="str">
        <x:v>信任；信赖</x:v>
      </x:c>
    </x:row>
    <x:row r="827" ht="20" customHeight="1">
      <x:c r="A827" s="39" t="str">
        <x:v>tennis</x:v>
      </x:c>
      <x:c r="B827" s="28" t="str">
        <x:v>/ˈtenɪs/</x:v>
      </x:c>
      <x:c r="C827" s="40" t="str">
        <x:v>网球</x:v>
      </x:c>
      <x:c r="D827" s="68"/>
      <x:c r="E827" s="39" t="str">
        <x:v>today</x:v>
      </x:c>
      <x:c r="F827" s="28" t="str">
        <x:v>/təˈdeɪ/</x:v>
      </x:c>
      <x:c r="G827" s="40" t="str">
        <x:v>今天；今日</x:v>
      </x:c>
      <x:c r="H827" s="68"/>
      <x:c r="I827" s="39" t="str">
        <x:v>truth</x:v>
      </x:c>
      <x:c r="J827" s="28" t="str">
        <x:v>/truːθ/</x:v>
      </x:c>
      <x:c r="K827" s="40" t="str">
        <x:v>真相；事实</x:v>
      </x:c>
    </x:row>
    <x:row r="828" ht="20" customHeight="1">
      <x:c r="A828" s="37" t="str">
        <x:v>term</x:v>
      </x:c>
      <x:c r="B828" s="21" t="str">
        <x:v>/tɜːm/</x:v>
      </x:c>
      <x:c r="C828" s="38" t="str">
        <x:v>学期；术语</x:v>
      </x:c>
      <x:c r="D828" s="68"/>
      <x:c r="E828" s="37" t="str">
        <x:v>together</x:v>
      </x:c>
      <x:c r="F828" s="21" t="str">
        <x:v>/təˈɡeðə/</x:v>
      </x:c>
      <x:c r="G828" s="38" t="str">
        <x:v>一起；共同（副词，不列名词）</x:v>
      </x:c>
      <x:c r="H828" s="68"/>
      <x:c r="I828" s="37" t="str">
        <x:v>try</x:v>
      </x:c>
      <x:c r="J828" s="21" t="str">
        <x:v>/traɪ/</x:v>
      </x:c>
      <x:c r="K828" s="38" t="str">
        <x:v>尝试；努力</x:v>
      </x:c>
    </x:row>
    <x:row r="829" ht="20" customHeight="1">
      <x:c r="A829" s="39" t="str">
        <x:v>test</x:v>
      </x:c>
      <x:c r="B829" s="28" t="str">
        <x:v>/test/</x:v>
      </x:c>
      <x:c r="C829" s="40" t="str">
        <x:v>测试；考试</x:v>
      </x:c>
      <x:c r="D829" s="68"/>
      <x:c r="E829" s="39" t="str">
        <x:v>tomato</x:v>
      </x:c>
      <x:c r="F829" s="28" t="str">
        <x:v>/təˈmɑːtəʊ/</x:v>
      </x:c>
      <x:c r="G829" s="40" t="str">
        <x:v>西红柿；番茄</x:v>
      </x:c>
      <x:c r="H829" s="68"/>
      <x:c r="I829" s="39" t="str">
        <x:v>Tuesday</x:v>
      </x:c>
      <x:c r="J829" s="28" t="str">
        <x:v>/ˈtjuːzdeɪ/</x:v>
      </x:c>
      <x:c r="K829" s="40" t="str">
        <x:v>星期二</x:v>
      </x:c>
    </x:row>
    <x:row r="830" ht="20" customHeight="1">
      <x:c r="A830" s="37" t="str">
        <x:v>text</x:v>
      </x:c>
      <x:c r="B830" s="21" t="str">
        <x:v>/tekst/</x:v>
      </x:c>
      <x:c r="C830" s="38" t="str">
        <x:v>文本；课文</x:v>
      </x:c>
      <x:c r="D830" s="68"/>
      <x:c r="E830" s="37" t="str">
        <x:v>tomorrow</x:v>
      </x:c>
      <x:c r="F830" s="21" t="str">
        <x:v>/təˈmɒrəʊ/</x:v>
      </x:c>
      <x:c r="G830" s="38" t="str">
        <x:v>明天</x:v>
      </x:c>
      <x:c r="H830" s="68"/>
      <x:c r="I830" s="37" t="str">
        <x:v>turn</x:v>
      </x:c>
      <x:c r="J830" s="21" t="str">
        <x:v>/tɜːn/</x:v>
      </x:c>
      <x:c r="K830" s="38" t="str">
        <x:v>轮流；顺序</x:v>
      </x:c>
    </x:row>
    <x:row r="831" ht="20" customHeight="1">
      <x:c r="A831" s="39" t="str">
        <x:v>thanks</x:v>
      </x:c>
      <x:c r="B831" s="28" t="str">
        <x:v>/θæŋks/</x:v>
      </x:c>
      <x:c r="C831" s="40" t="str">
        <x:v>感谢；谢谢</x:v>
      </x:c>
      <x:c r="D831" s="68"/>
      <x:c r="E831" s="39" t="str">
        <x:v>ton</x:v>
      </x:c>
      <x:c r="F831" s="28" t="str">
        <x:v>/tʌn/</x:v>
      </x:c>
      <x:c r="G831" s="40" t="str">
        <x:v>吨</x:v>
      </x:c>
      <x:c r="H831" s="68"/>
      <x:c r="I831" s="39" t="str">
        <x:v>TV</x:v>
      </x:c>
      <x:c r="J831" s="28" t="str">
        <x:v>/ˌtiː ˈviː/</x:v>
      </x:c>
      <x:c r="K831" s="40" t="str">
        <x:v>电视；电视机</x:v>
      </x:c>
    </x:row>
    <x:row r="832" ht="20" customHeight="1">
      <x:c r="A832" s="37" t="str">
        <x:v>theatre</x:v>
      </x:c>
      <x:c r="B832" s="21" t="str">
        <x:v>/ˈθɪətə/</x:v>
      </x:c>
      <x:c r="C832" s="38" t="str">
        <x:v>剧院；戏院</x:v>
      </x:c>
      <x:c r="D832" s="68"/>
      <x:c r="E832" s="37" t="str">
        <x:v>tonight</x:v>
      </x:c>
      <x:c r="F832" s="21" t="str">
        <x:v>/təˈnaɪt/</x:v>
      </x:c>
      <x:c r="G832" s="38" t="str">
        <x:v>今晚；今夜</x:v>
      </x:c>
      <x:c r="H832" s="68"/>
      <x:c r="I832" s="37" t="str">
        <x:v>twelfth</x:v>
      </x:c>
      <x:c r="J832" s="21" t="str">
        <x:v>/twelfθ/</x:v>
      </x:c>
      <x:c r="K832" s="38" t="str">
        <x:v>第十二</x:v>
      </x:c>
    </x:row>
    <x:row r="833" ht="20" customHeight="1">
      <x:c r="A833" s="39" t="str">
        <x:v>the</x:v>
      </x:c>
      <x:c r="B833" s="28" t="str">
        <x:v>/ðə; ðiː/</x:v>
      </x:c>
      <x:c r="C833" s="40" t="str">
        <x:v>定冠词（此处归为功能词，不列名词）</x:v>
      </x:c>
      <x:c r="D833" s="68"/>
      <x:c r="E833" s="39" t="str">
        <x:v>tooth</x:v>
      </x:c>
      <x:c r="F833" s="28" t="str">
        <x:v>/tuːθ/</x:v>
      </x:c>
      <x:c r="G833" s="40" t="str">
        <x:v>牙齿</x:v>
      </x:c>
      <x:c r="H833" s="68"/>
      <x:c r="I833" s="39" t="str">
        <x:v>twelve</x:v>
      </x:c>
      <x:c r="J833" s="28" t="str">
        <x:v>/twelv/</x:v>
      </x:c>
      <x:c r="K833" s="40" t="str">
        <x:v>十二</x:v>
      </x:c>
    </x:row>
    <x:row r="834" ht="20" customHeight="1">
      <x:c r="A834" s="37" t="str">
        <x:v>thing</x:v>
      </x:c>
      <x:c r="B834" s="21" t="str">
        <x:v>/θɪŋ/</x:v>
      </x:c>
      <x:c r="C834" s="38" t="str">
        <x:v>东西；事情</x:v>
      </x:c>
      <x:c r="D834" s="68"/>
      <x:c r="E834" s="37" t="str">
        <x:v>top</x:v>
      </x:c>
      <x:c r="F834" s="21" t="str">
        <x:v>/tɒp/</x:v>
      </x:c>
      <x:c r="G834" s="38" t="str">
        <x:v>顶部；顶端</x:v>
      </x:c>
      <x:c r="H834" s="68"/>
      <x:c r="I834" s="37" t="str">
        <x:v>twentieth</x:v>
      </x:c>
      <x:c r="J834" s="21" t="str">
        <x:v>/ˈtwentiəθ/</x:v>
      </x:c>
      <x:c r="K834" s="38" t="str">
        <x:v>第二十</x:v>
      </x:c>
    </x:row>
    <x:row r="835" ht="20" customHeight="1">
      <x:c r="A835" s="39" t="str">
        <x:v>think</x:v>
      </x:c>
      <x:c r="B835" s="28" t="str">
        <x:v>/θɪŋk/</x:v>
      </x:c>
      <x:c r="C835" s="40" t="str">
        <x:v>想法；观点（兼作动词）</x:v>
      </x:c>
      <x:c r="D835" s="68"/>
      <x:c r="E835" s="39" t="str">
        <x:v>touch</x:v>
      </x:c>
      <x:c r="F835" s="28" t="str">
        <x:v>/tʌtʃ/</x:v>
      </x:c>
      <x:c r="G835" s="40" t="str">
        <x:v>触摸；接触</x:v>
      </x:c>
      <x:c r="H835" s="68"/>
      <x:c r="I835" s="39" t="str">
        <x:v>twenty</x:v>
      </x:c>
      <x:c r="J835" s="28" t="str">
        <x:v>/ˈtwenti/</x:v>
      </x:c>
      <x:c r="K835" s="40" t="str">
        <x:v>二十</x:v>
      </x:c>
    </x:row>
    <x:row r="836" ht="20" customHeight="1">
      <x:c r="A836" s="41" t="str">
        <x:v>thirty</x:v>
      </x:c>
      <x:c r="B836" s="42" t="str">
        <x:v>/ˈθɜːti/</x:v>
      </x:c>
      <x:c r="C836" s="43" t="str">
        <x:v>三十</x:v>
      </x:c>
      <x:c r="D836" s="68"/>
      <x:c r="E836" s="41" t="str">
        <x:v>tour</x:v>
      </x:c>
      <x:c r="F836" s="42" t="str">
        <x:v>/tʊə/</x:v>
      </x:c>
      <x:c r="G836" s="43" t="str">
        <x:v>旅行；观光</x:v>
      </x:c>
      <x:c r="H836" s="68"/>
      <x:c r="I836" s="41" t="str">
        <x:v>two</x:v>
      </x:c>
      <x:c r="J836" s="42" t="str">
        <x:v>/tuː/</x:v>
      </x:c>
      <x:c r="K836" s="43" t="str">
        <x:v>二</x:v>
      </x:c>
    </x:row>
    <x:row r="837">
      <x:c r="A837" s="68"/>
      <x:c r="B837" s="68"/>
      <x:c r="C837" s="68"/>
      <x:c r="D837" s="68"/>
      <x:c r="E837" s="68"/>
      <x:c r="F837" s="68"/>
      <x:c r="G837" s="68"/>
      <x:c r="H837" s="68"/>
      <x:c r="I837" s="68"/>
      <x:c r="J837" s="68"/>
      <x:c r="K837" s="68"/>
    </x:row>
    <x:row r="838" ht="27" customHeight="1">
      <x:c r="A838" s="65" t="str">
        <x:v>T 开头单词（2/3）</x:v>
      </x:c>
      <x:c r="B838" s="66"/>
      <x:c r="C838" s="67"/>
      <x:c r="D838" s="68"/>
      <x:c r="E838" s="69"/>
      <x:c r="F838" s="66"/>
      <x:c r="G838" s="67"/>
      <x:c r="H838" s="68"/>
      <x:c r="I838" s="69"/>
      <x:c r="J838" s="66"/>
      <x:c r="K838" s="67"/>
    </x:row>
    <x:row r="839" ht="19" customHeight="1">
      <x:c r="A839" s="70" t="str">
        <x:v>英文单词 / 短语</x:v>
      </x:c>
      <x:c r="B839" s="71" t="str">
        <x:v>音标</x:v>
      </x:c>
      <x:c r="C839" s="72" t="str">
        <x:v>中文解释</x:v>
      </x:c>
      <x:c r="D839" s="68"/>
      <x:c r="E839" s="70" t="str">
        <x:v>英文单词 / 短语</x:v>
      </x:c>
      <x:c r="F839" s="71" t="str">
        <x:v>音标</x:v>
      </x:c>
      <x:c r="G839" s="72" t="str">
        <x:v>中文解释</x:v>
      </x:c>
      <x:c r="H839" s="68"/>
      <x:c r="I839" s="70" t="str">
        <x:v>英文单词 / 短语</x:v>
      </x:c>
      <x:c r="J839" s="71" t="str">
        <x:v>音标</x:v>
      </x:c>
      <x:c r="K839" s="72" t="str">
        <x:v>中文解释</x:v>
      </x:c>
    </x:row>
    <x:row r="840" ht="20" customHeight="1">
      <x:c r="A840" s="39" t="str">
        <x:v>type</x:v>
      </x:c>
      <x:c r="B840" s="28" t="str">
        <x:v>/taɪp/</x:v>
      </x:c>
      <x:c r="C840" s="40" t="str">
        <x:v>类型；种类</x:v>
      </x:c>
      <x:c r="D840" s="68"/>
      <x:c r="E840" s="39" t="str">
        <x:v>tired</x:v>
      </x:c>
      <x:c r="F840" s="28" t="str">
        <x:v>/ˈtaɪəd/</x:v>
      </x:c>
      <x:c r="G840" s="40" t="str">
        <x:v>疲劳的；累的</x:v>
      </x:c>
      <x:c r="H840" s="68"/>
      <x:c r="I840" s="39" t="str">
        <x:v>these</x:v>
      </x:c>
      <x:c r="J840" s="28" t="str">
        <x:v>/ðiːz/</x:v>
      </x:c>
      <x:c r="K840" s="40" t="str">
        <x:v>这些</x:v>
      </x:c>
    </x:row>
    <x:row r="841" ht="20" customHeight="1">
      <x:c r="A841" s="73" t="str">
        <x:v>动词（16）</x:v>
      </x:c>
      <x:c r="B841" s="68"/>
      <x:c r="C841" s="74"/>
      <x:c r="D841" s="68"/>
      <x:c r="E841" s="37" t="str">
        <x:v>true</x:v>
      </x:c>
      <x:c r="F841" s="21" t="str">
        <x:v>/truː/</x:v>
      </x:c>
      <x:c r="G841" s="38" t="str">
        <x:v>真实的；正确的；忠诚的</x:v>
      </x:c>
      <x:c r="H841" s="68"/>
      <x:c r="I841" s="37" t="str">
        <x:v>they</x:v>
      </x:c>
      <x:c r="J841" s="21" t="str">
        <x:v>/ðeɪ/</x:v>
      </x:c>
      <x:c r="K841" s="38" t="str">
        <x:v>他们；她们；它们（主格）</x:v>
      </x:c>
    </x:row>
    <x:row r="842" ht="20" customHeight="1">
      <x:c r="A842" s="39" t="str">
        <x:v>take</x:v>
      </x:c>
      <x:c r="B842" s="28" t="str">
        <x:v>/teɪk/</x:v>
      </x:c>
      <x:c r="C842" s="40" t="str">
        <x:v>拿；取；带走；乘坐；花费</x:v>
      </x:c>
      <x:c r="D842" s="68"/>
      <x:c r="E842" s="39" t="str">
        <x:v>traditional</x:v>
      </x:c>
      <x:c r="F842" s="28" t="str">
        <x:v>/trəˈdɪʃənl/</x:v>
      </x:c>
      <x:c r="G842" s="40" t="str">
        <x:v>传统的；习俗的</x:v>
      </x:c>
      <x:c r="H842" s="68"/>
      <x:c r="I842" s="39" t="str">
        <x:v>this</x:v>
      </x:c>
      <x:c r="J842" s="28" t="str">
        <x:v>/ðɪs/</x:v>
      </x:c>
      <x:c r="K842" s="40" t="str">
        <x:v>这；这个</x:v>
      </x:c>
    </x:row>
    <x:row r="843" ht="20" customHeight="1">
      <x:c r="A843" s="37" t="str">
        <x:v>talk</x:v>
      </x:c>
      <x:c r="B843" s="21" t="str">
        <x:v>/tɔːk/</x:v>
      </x:c>
      <x:c r="C843" s="38" t="str">
        <x:v>谈话；交谈；谈论</x:v>
      </x:c>
      <x:c r="D843" s="68"/>
      <x:c r="E843" s="73" t="str">
        <x:v>副词（5）</x:v>
      </x:c>
      <x:c r="F843" s="68"/>
      <x:c r="G843" s="74"/>
      <x:c r="H843" s="68"/>
      <x:c r="I843" s="37" t="str">
        <x:v>those</x:v>
      </x:c>
      <x:c r="J843" s="21" t="str">
        <x:v>/ðəʊz/</x:v>
      </x:c>
      <x:c r="K843" s="38" t="str">
        <x:v>那些</x:v>
      </x:c>
    </x:row>
    <x:row r="844" ht="17" customHeight="1">
      <x:c r="A844" s="39" t="str">
        <x:v>taste</x:v>
      </x:c>
      <x:c r="B844" s="28" t="str">
        <x:v>/teɪst/</x:v>
      </x:c>
      <x:c r="C844" s="40" t="str">
        <x:v>品尝；尝起来</x:v>
      </x:c>
      <x:c r="D844" s="68"/>
      <x:c r="E844" s="39" t="str">
        <x:v>there</x:v>
      </x:c>
      <x:c r="F844" s="28" t="str">
        <x:v>/ðeə/</x:v>
      </x:c>
      <x:c r="G844" s="40" t="str">
        <x:v>在那里；往那里</x:v>
      </x:c>
      <x:c r="H844" s="68"/>
      <x:c r="I844" s="73" t="str">
        <x:v>数词（10）</x:v>
      </x:c>
      <x:c r="J844" s="68"/>
      <x:c r="K844" s="74"/>
    </x:row>
    <x:row r="845" ht="20" customHeight="1">
      <x:c r="A845" s="37" t="str">
        <x:v>teach</x:v>
      </x:c>
      <x:c r="B845" s="21" t="str">
        <x:v>/tiːtʃ/</x:v>
      </x:c>
      <x:c r="C845" s="38" t="str">
        <x:v>教；讲授</x:v>
      </x:c>
      <x:c r="D845" s="68"/>
      <x:c r="E845" s="37" t="str">
        <x:v>today</x:v>
      </x:c>
      <x:c r="F845" s="21" t="str">
        <x:v>/təˈdeɪ/</x:v>
      </x:c>
      <x:c r="G845" s="38" t="str">
        <x:v>今天；如今</x:v>
      </x:c>
      <x:c r="H845" s="68"/>
      <x:c r="I845" s="37" t="str">
        <x:v>ten</x:v>
      </x:c>
      <x:c r="J845" s="21" t="str">
        <x:v>/ten/</x:v>
      </x:c>
      <x:c r="K845" s="38" t="str">
        <x:v>十</x:v>
      </x:c>
    </x:row>
    <x:row r="846" ht="20" customHeight="1">
      <x:c r="A846" s="39" t="str">
        <x:v>tell</x:v>
      </x:c>
      <x:c r="B846" s="28" t="str">
        <x:v>/tel/</x:v>
      </x:c>
      <x:c r="C846" s="40" t="str">
        <x:v>告诉；讲述</x:v>
      </x:c>
      <x:c r="D846" s="68"/>
      <x:c r="E846" s="39" t="str">
        <x:v>together</x:v>
      </x:c>
      <x:c r="F846" s="28" t="str">
        <x:v>/təˈɡeðə/</x:v>
      </x:c>
      <x:c r="G846" s="40" t="str">
        <x:v>一起；共同</x:v>
      </x:c>
      <x:c r="H846" s="68"/>
      <x:c r="I846" s="39" t="str">
        <x:v>thirteen</x:v>
      </x:c>
      <x:c r="J846" s="28" t="str">
        <x:v>/ˌθɜːˈtiːn/</x:v>
      </x:c>
      <x:c r="K846" s="40" t="str">
        <x:v>十三</x:v>
      </x:c>
    </x:row>
    <x:row r="847" ht="20" customHeight="1">
      <x:c r="A847" s="37" t="str">
        <x:v>think</x:v>
      </x:c>
      <x:c r="B847" s="21" t="str">
        <x:v>/θɪŋk/</x:v>
      </x:c>
      <x:c r="C847" s="38" t="str">
        <x:v>认为；想；思考</x:v>
      </x:c>
      <x:c r="D847" s="68"/>
      <x:c r="E847" s="37" t="str">
        <x:v>too</x:v>
      </x:c>
      <x:c r="F847" s="21" t="str">
        <x:v>/tuː/</x:v>
      </x:c>
      <x:c r="G847" s="38" t="str">
        <x:v>也；太；过于</x:v>
      </x:c>
      <x:c r="H847" s="68"/>
      <x:c r="I847" s="37" t="str">
        <x:v>thirty</x:v>
      </x:c>
      <x:c r="J847" s="21" t="str">
        <x:v>/ˈθɜːti/</x:v>
      </x:c>
      <x:c r="K847" s="38" t="str">
        <x:v>三十</x:v>
      </x:c>
    </x:row>
    <x:row r="848" ht="20" customHeight="1">
      <x:c r="A848" s="39" t="str">
        <x:v>throw</x:v>
      </x:c>
      <x:c r="B848" s="28" t="str">
        <x:v>/θrəʊ/</x:v>
      </x:c>
      <x:c r="C848" s="40" t="str">
        <x:v>扔；掷；投</x:v>
      </x:c>
      <x:c r="D848" s="68"/>
      <x:c r="E848" s="39" t="str">
        <x:v>twice</x:v>
      </x:c>
      <x:c r="F848" s="28" t="str">
        <x:v>/twaɪs/</x:v>
      </x:c>
      <x:c r="G848" s="40" t="str">
        <x:v>两次；两倍</x:v>
      </x:c>
      <x:c r="H848" s="68"/>
      <x:c r="I848" s="39" t="str">
        <x:v>thousand</x:v>
      </x:c>
      <x:c r="J848" s="28" t="str">
        <x:v>/ˈθaʊzənd/</x:v>
      </x:c>
      <x:c r="K848" s="40" t="str">
        <x:v>千</x:v>
      </x:c>
    </x:row>
    <x:row r="849" ht="20" customHeight="1">
      <x:c r="A849" s="37" t="str">
        <x:v>touch</x:v>
      </x:c>
      <x:c r="B849" s="21" t="str">
        <x:v>/tʌtʃ/</x:v>
      </x:c>
      <x:c r="C849" s="38" t="str">
        <x:v>触摸；接触</x:v>
      </x:c>
      <x:c r="D849" s="68"/>
      <x:c r="E849" s="73" t="str">
        <x:v>介词（3）</x:v>
      </x:c>
      <x:c r="F849" s="68"/>
      <x:c r="G849" s="74"/>
      <x:c r="H849" s="68"/>
      <x:c r="I849" s="37" t="str">
        <x:v>three</x:v>
      </x:c>
      <x:c r="J849" s="21" t="str">
        <x:v>/θriː/</x:v>
      </x:c>
      <x:c r="K849" s="38" t="str">
        <x:v>三</x:v>
      </x:c>
    </x:row>
    <x:row r="850" ht="20" customHeight="1">
      <x:c r="A850" s="39" t="str">
        <x:v>tour</x:v>
      </x:c>
      <x:c r="B850" s="28" t="str">
        <x:v>/tʊə/</x:v>
      </x:c>
      <x:c r="C850" s="40" t="str">
        <x:v>旅行；观光</x:v>
      </x:c>
      <x:c r="D850" s="68"/>
      <x:c r="E850" s="39" t="str">
        <x:v>through</x:v>
      </x:c>
      <x:c r="F850" s="28" t="str">
        <x:v>/θruː/</x:v>
      </x:c>
      <x:c r="G850" s="40" t="str">
        <x:v>穿过；通过</x:v>
      </x:c>
      <x:c r="H850" s="68"/>
      <x:c r="I850" s="39" t="str">
        <x:v>twelfth</x:v>
      </x:c>
      <x:c r="J850" s="28" t="str">
        <x:v>/twelfθ/</x:v>
      </x:c>
      <x:c r="K850" s="40" t="str">
        <x:v>第十二</x:v>
      </x:c>
    </x:row>
    <x:row r="851" ht="20" customHeight="1">
      <x:c r="A851" s="37" t="str">
        <x:v>train</x:v>
      </x:c>
      <x:c r="B851" s="21" t="str">
        <x:v>/treɪn/</x:v>
      </x:c>
      <x:c r="C851" s="38" t="str">
        <x:v>训练；培训</x:v>
      </x:c>
      <x:c r="D851" s="68"/>
      <x:c r="E851" s="37" t="str">
        <x:v>to</x:v>
      </x:c>
      <x:c r="F851" s="21" t="str">
        <x:v>/tuː/</x:v>
      </x:c>
      <x:c r="G851" s="38" t="str">
        <x:v>向；到；往</x:v>
      </x:c>
      <x:c r="H851" s="68"/>
      <x:c r="I851" s="37" t="str">
        <x:v>twelve</x:v>
      </x:c>
      <x:c r="J851" s="21" t="str">
        <x:v>/twelv/</x:v>
      </x:c>
      <x:c r="K851" s="38" t="str">
        <x:v>十二</x:v>
      </x:c>
    </x:row>
    <x:row r="852" ht="20" customHeight="1">
      <x:c r="A852" s="39" t="str">
        <x:v>travel</x:v>
      </x:c>
      <x:c r="B852" s="28" t="str">
        <x:v>/ˈtrævl/</x:v>
      </x:c>
      <x:c r="C852" s="40" t="str">
        <x:v>旅行；游历</x:v>
      </x:c>
      <x:c r="D852" s="68"/>
      <x:c r="E852" s="39" t="str">
        <x:v>towards</x:v>
      </x:c>
      <x:c r="F852" s="28" t="str">
        <x:v>/təˈwɔːdz/</x:v>
      </x:c>
      <x:c r="G852" s="40" t="str">
        <x:v>朝；向；对于</x:v>
      </x:c>
      <x:c r="H852" s="68"/>
      <x:c r="I852" s="39" t="str">
        <x:v>twentieth</x:v>
      </x:c>
      <x:c r="J852" s="28" t="str">
        <x:v>/ˈtwentiəθ/</x:v>
      </x:c>
      <x:c r="K852" s="40" t="str">
        <x:v>第二十</x:v>
      </x:c>
    </x:row>
    <x:row r="853" ht="20" customHeight="1">
      <x:c r="A853" s="37" t="str">
        <x:v>treat</x:v>
      </x:c>
      <x:c r="B853" s="21" t="str">
        <x:v>/triːt/</x:v>
      </x:c>
      <x:c r="C853" s="38" t="str">
        <x:v>对待；看待；治疗</x:v>
      </x:c>
      <x:c r="D853" s="68"/>
      <x:c r="E853" s="73" t="str">
        <x:v>连词（3）</x:v>
      </x:c>
      <x:c r="F853" s="68"/>
      <x:c r="G853" s="74"/>
      <x:c r="H853" s="68"/>
      <x:c r="I853" s="37" t="str">
        <x:v>twenty</x:v>
      </x:c>
      <x:c r="J853" s="21" t="str">
        <x:v>/ˈtwenti/</x:v>
      </x:c>
      <x:c r="K853" s="38" t="str">
        <x:v>二十</x:v>
      </x:c>
    </x:row>
    <x:row r="854" ht="20" customHeight="1">
      <x:c r="A854" s="39" t="str">
        <x:v>trust</x:v>
      </x:c>
      <x:c r="B854" s="28" t="str">
        <x:v>/trʌst/</x:v>
      </x:c>
      <x:c r="C854" s="40" t="str">
        <x:v>信任；信赖</x:v>
      </x:c>
      <x:c r="D854" s="68"/>
      <x:c r="E854" s="39" t="str">
        <x:v>than</x:v>
      </x:c>
      <x:c r="F854" s="28" t="str">
        <x:v>/ðæn/</x:v>
      </x:c>
      <x:c r="G854" s="40" t="str">
        <x:v>比</x:v>
      </x:c>
      <x:c r="H854" s="68"/>
      <x:c r="I854" s="39" t="str">
        <x:v>two</x:v>
      </x:c>
      <x:c r="J854" s="28" t="str">
        <x:v>/tuː/</x:v>
      </x:c>
      <x:c r="K854" s="40" t="str">
        <x:v>二</x:v>
      </x:c>
    </x:row>
    <x:row r="855" ht="17" customHeight="1">
      <x:c r="A855" s="37" t="str">
        <x:v>try</x:v>
      </x:c>
      <x:c r="B855" s="21" t="str">
        <x:v>/traɪ/</x:v>
      </x:c>
      <x:c r="C855" s="38" t="str">
        <x:v>尝试；努力；试</x:v>
      </x:c>
      <x:c r="D855" s="68"/>
      <x:c r="E855" s="37" t="str">
        <x:v>though</x:v>
      </x:c>
      <x:c r="F855" s="21" t="str">
        <x:v>/ðəʊ/</x:v>
      </x:c>
      <x:c r="G855" s="38" t="str">
        <x:v>虽然；尽管</x:v>
      </x:c>
      <x:c r="H855" s="68"/>
      <x:c r="I855" s="73" t="str">
        <x:v>短语（24）</x:v>
      </x:c>
      <x:c r="J855" s="68"/>
      <x:c r="K855" s="74"/>
    </x:row>
    <x:row r="856" ht="20" customHeight="1">
      <x:c r="A856" s="39" t="str">
        <x:v>turn</x:v>
      </x:c>
      <x:c r="B856" s="28" t="str">
        <x:v>/tɜːn/</x:v>
      </x:c>
      <x:c r="C856" s="40" t="str">
        <x:v>转动；转向；变得</x:v>
      </x:c>
      <x:c r="D856" s="68"/>
      <x:c r="E856" s="39" t="str">
        <x:v>till</x:v>
      </x:c>
      <x:c r="F856" s="28" t="str">
        <x:v>/tɪl/</x:v>
      </x:c>
      <x:c r="G856" s="40" t="str">
        <x:v>直到……为止</x:v>
      </x:c>
      <x:c r="H856" s="68"/>
      <x:c r="I856" s="39" t="str">
        <x:v>a</x:v>
      </x:c>
      <x:c r="J856" s="28" t="str"/>
      <x:c r="K856" s="40" t="str">
        <x:v>bit tired 有点累</x:v>
      </x:c>
    </x:row>
    <x:row r="857" ht="20" customHeight="1">
      <x:c r="A857" s="37" t="str">
        <x:v>type</x:v>
      </x:c>
      <x:c r="B857" s="21" t="str">
        <x:v>/taɪp/</x:v>
      </x:c>
      <x:c r="C857" s="38" t="str">
        <x:v>打字；输入</x:v>
      </x:c>
      <x:c r="D857" s="68"/>
      <x:c r="E857" s="73" t="str">
        <x:v>代词（10）</x:v>
      </x:c>
      <x:c r="F857" s="68"/>
      <x:c r="G857" s="74"/>
      <x:c r="H857" s="68"/>
      <x:c r="I857" s="37" t="str">
        <x:v>after</x:v>
      </x:c>
      <x:c r="J857" s="21" t="str"/>
      <x:c r="K857" s="38" t="str">
        <x:v>that 在那之后</x:v>
      </x:c>
    </x:row>
    <x:row r="858" ht="20" customHeight="1">
      <x:c r="A858" s="73" t="str">
        <x:v>形容词（8）</x:v>
      </x:c>
      <x:c r="B858" s="68"/>
      <x:c r="C858" s="74"/>
      <x:c r="D858" s="68"/>
      <x:c r="E858" s="39" t="str">
        <x:v>that</x:v>
      </x:c>
      <x:c r="F858" s="28" t="str">
        <x:v>/ðæt/</x:v>
      </x:c>
      <x:c r="G858" s="40" t="str">
        <x:v>那；那个</x:v>
      </x:c>
      <x:c r="H858" s="68"/>
      <x:c r="I858" s="39" t="str">
        <x:v>all</x:v>
      </x:c>
      <x:c r="J858" s="28" t="str"/>
      <x:c r="K858" s="40" t="str">
        <x:v>the time 一直；总是</x:v>
      </x:c>
    </x:row>
    <x:row r="859" ht="20" customHeight="1">
      <x:c r="A859" s="37" t="str">
        <x:v>tall</x:v>
      </x:c>
      <x:c r="B859" s="21" t="str">
        <x:v>/tɔːl/</x:v>
      </x:c>
      <x:c r="C859" s="38" t="str">
        <x:v>高的</x:v>
      </x:c>
      <x:c r="D859" s="68"/>
      <x:c r="E859" s="37" t="str">
        <x:v>the</x:v>
      </x:c>
      <x:c r="F859" s="21" t="str">
        <x:v>/ðə; ðiː/</x:v>
      </x:c>
      <x:c r="G859" s="38" t="str">
        <x:v>（定冠词，不列代词）</x:v>
      </x:c>
      <x:c r="H859" s="68"/>
      <x:c r="I859" s="37" t="str">
        <x:v>at</x:v>
      </x:c>
      <x:c r="J859" s="21" t="str"/>
      <x:c r="K859" s="38" t="str">
        <x:v>the age of 在……岁时</x:v>
      </x:c>
    </x:row>
    <x:row r="860" ht="20" customHeight="1">
      <x:c r="A860" s="39" t="str">
        <x:v>tasty</x:v>
      </x:c>
      <x:c r="B860" s="28" t="str">
        <x:v>/ˈteɪsti/</x:v>
      </x:c>
      <x:c r="C860" s="40" t="str">
        <x:v>美味的；可口的</x:v>
      </x:c>
      <x:c r="D860" s="68"/>
      <x:c r="E860" s="39" t="str">
        <x:v>their</x:v>
      </x:c>
      <x:c r="F860" s="28" t="str">
        <x:v>/ðeə/</x:v>
      </x:c>
      <x:c r="G860" s="40" t="str">
        <x:v>他们的；她们的；它们的</x:v>
      </x:c>
      <x:c r="H860" s="68"/>
      <x:c r="I860" s="39" t="str">
        <x:v>be</x:v>
      </x:c>
      <x:c r="J860" s="28" t="str"/>
      <x:c r="K860" s="40" t="str">
        <x:v>good at 擅长</x:v>
      </x:c>
    </x:row>
    <x:row r="861" ht="20" customHeight="1">
      <x:c r="A861" s="37" t="str">
        <x:v>terrible</x:v>
      </x:c>
      <x:c r="B861" s="21" t="str">
        <x:v>/ˈterəbl/</x:v>
      </x:c>
      <x:c r="C861" s="38" t="str">
        <x:v>可怕的；糟糕的</x:v>
      </x:c>
      <x:c r="D861" s="68"/>
      <x:c r="E861" s="37" t="str">
        <x:v>theirs</x:v>
      </x:c>
      <x:c r="F861" s="21" t="str">
        <x:v>/ðeəz/</x:v>
      </x:c>
      <x:c r="G861" s="38" t="str">
        <x:v>他们的；她们的；它们的（名词性物主代词）</x:v>
      </x:c>
      <x:c r="H861" s="68"/>
      <x:c r="I861" s="37" t="str">
        <x:v>be</x:v>
      </x:c>
      <x:c r="J861" s="21" t="str"/>
      <x:c r="K861" s="38" t="str">
        <x:v>in trouble 处于困境中</x:v>
      </x:c>
    </x:row>
    <x:row r="862" ht="20" customHeight="1">
      <x:c r="A862" s="39" t="str">
        <x:v>thin</x:v>
      </x:c>
      <x:c r="B862" s="28" t="str">
        <x:v>/θɪn/</x:v>
      </x:c>
      <x:c r="C862" s="40" t="str">
        <x:v>薄的；瘦的</x:v>
      </x:c>
      <x:c r="D862" s="68"/>
      <x:c r="E862" s="39" t="str">
        <x:v>them</x:v>
      </x:c>
      <x:c r="F862" s="28" t="str">
        <x:v>/ðəm/</x:v>
      </x:c>
      <x:c r="G862" s="40" t="str">
        <x:v>他们；她们；它们（宾格）</x:v>
      </x:c>
      <x:c r="H862" s="68"/>
      <x:c r="I862" s="39" t="str">
        <x:v>come</x:v>
      </x:c>
      <x:c r="J862" s="28" t="str"/>
      <x:c r="K862" s="40" t="str">
        <x:v>true 实现</x:v>
      </x:c>
    </x:row>
    <x:row r="863" ht="20" customHeight="1">
      <x:c r="A863" s="41" t="str">
        <x:v>thirsty</x:v>
      </x:c>
      <x:c r="B863" s="42" t="str">
        <x:v>/ˈθɜːsti/</x:v>
      </x:c>
      <x:c r="C863" s="43" t="str">
        <x:v>口渴的</x:v>
      </x:c>
      <x:c r="D863" s="68"/>
      <x:c r="E863" s="41" t="str">
        <x:v>themselves</x:v>
      </x:c>
      <x:c r="F863" s="42" t="str">
        <x:v>/ðəmˈselvz/</x:v>
      </x:c>
      <x:c r="G863" s="43" t="str">
        <x:v>他们自己；她们自己；它们自己</x:v>
      </x:c>
      <x:c r="H863" s="68"/>
      <x:c r="I863" s="41" t="str">
        <x:v>have</x:v>
      </x:c>
      <x:c r="J863" s="42" t="str"/>
      <x:c r="K863" s="43" t="str">
        <x:v>a try 试试看</x:v>
      </x:c>
    </x:row>
    <x:row r="864">
      <x:c r="A864" s="68"/>
      <x:c r="B864" s="68"/>
      <x:c r="C864" s="68"/>
      <x:c r="D864" s="68"/>
      <x:c r="E864" s="68"/>
      <x:c r="F864" s="68"/>
      <x:c r="G864" s="68"/>
      <x:c r="H864" s="68"/>
      <x:c r="I864" s="68"/>
      <x:c r="J864" s="68"/>
      <x:c r="K864" s="68"/>
    </x:row>
    <x:row r="865" ht="27" customHeight="1">
      <x:c r="A865" s="65" t="str">
        <x:v>T 开头单词（3/3）</x:v>
      </x:c>
      <x:c r="B865" s="66"/>
      <x:c r="C865" s="67"/>
      <x:c r="D865" s="68"/>
      <x:c r="E865" s="69"/>
      <x:c r="F865" s="66"/>
      <x:c r="G865" s="67"/>
      <x:c r="H865" s="68"/>
      <x:c r="I865" s="69"/>
      <x:c r="J865" s="66"/>
      <x:c r="K865" s="67"/>
    </x:row>
    <x:row r="866" ht="19" customHeight="1">
      <x:c r="A866" s="70" t="str">
        <x:v>英文单词 / 短语</x:v>
      </x:c>
      <x:c r="B866" s="71" t="str">
        <x:v>音标</x:v>
      </x:c>
      <x:c r="C866" s="72" t="str">
        <x:v>中文解释</x:v>
      </x:c>
      <x:c r="D866" s="68"/>
      <x:c r="E866" s="70" t="str">
        <x:v>英文单词 / 短语</x:v>
      </x:c>
      <x:c r="F866" s="71" t="str">
        <x:v>音标</x:v>
      </x:c>
      <x:c r="G866" s="72" t="str">
        <x:v>中文解释</x:v>
      </x:c>
      <x:c r="H866" s="68"/>
      <x:c r="I866" s="70" t="str">
        <x:v>英文单词 / 短语</x:v>
      </x:c>
      <x:c r="J866" s="71" t="str">
        <x:v>音标</x:v>
      </x:c>
      <x:c r="K866" s="72" t="str">
        <x:v>中文解释</x:v>
      </x:c>
    </x:row>
    <x:row r="867" ht="20" customHeight="1">
      <x:c r="A867" s="39" t="str">
        <x:v>on</x:v>
      </x:c>
      <x:c r="B867" s="28" t="str"/>
      <x:c r="C867" s="40" t="str">
        <x:v>time 准时；按时</x:v>
      </x:c>
      <x:c r="D867" s="68"/>
      <x:c r="E867" s="75"/>
      <x:c r="F867" s="68"/>
      <x:c r="G867" s="74"/>
      <x:c r="H867" s="68"/>
      <x:c r="I867" s="75"/>
      <x:c r="J867" s="68"/>
      <x:c r="K867" s="74"/>
    </x:row>
    <x:row r="868" ht="20" customHeight="1">
      <x:c r="A868" s="37" t="str">
        <x:v>once</x:v>
      </x:c>
      <x:c r="B868" s="21" t="str"/>
      <x:c r="C868" s="38" t="str">
        <x:v>or twice 偶尔；一两次</x:v>
      </x:c>
      <x:c r="D868" s="68"/>
      <x:c r="E868" s="75"/>
      <x:c r="F868" s="68"/>
      <x:c r="G868" s="74"/>
      <x:c r="H868" s="68"/>
      <x:c r="I868" s="75"/>
      <x:c r="J868" s="68"/>
      <x:c r="K868" s="74"/>
    </x:row>
    <x:row r="869" ht="20" customHeight="1">
      <x:c r="A869" s="39" t="str">
        <x:v>take</x:v>
      </x:c>
      <x:c r="B869" s="28" t="str"/>
      <x:c r="C869" s="40" t="str">
        <x:v>care of 照顾；照料</x:v>
      </x:c>
      <x:c r="D869" s="68"/>
      <x:c r="E869" s="75"/>
      <x:c r="F869" s="68"/>
      <x:c r="G869" s="74"/>
      <x:c r="H869" s="68"/>
      <x:c r="I869" s="75"/>
      <x:c r="J869" s="68"/>
      <x:c r="K869" s="74"/>
    </x:row>
    <x:row r="870" ht="20" customHeight="1">
      <x:c r="A870" s="37" t="str">
        <x:v>take</x:v>
      </x:c>
      <x:c r="B870" s="21" t="str"/>
      <x:c r="C870" s="38" t="str">
        <x:v>part in 参加；参与</x:v>
      </x:c>
      <x:c r="D870" s="68"/>
      <x:c r="E870" s="75"/>
      <x:c r="F870" s="68"/>
      <x:c r="G870" s="74"/>
      <x:c r="H870" s="68"/>
      <x:c r="I870" s="75"/>
      <x:c r="J870" s="68"/>
      <x:c r="K870" s="74"/>
    </x:row>
    <x:row r="871" ht="20" customHeight="1">
      <x:c r="A871" s="39" t="str">
        <x:v>take</x:v>
      </x:c>
      <x:c r="B871" s="28" t="str"/>
      <x:c r="C871" s="40" t="str">
        <x:v>photos 拍照</x:v>
      </x:c>
      <x:c r="D871" s="68"/>
      <x:c r="E871" s="75"/>
      <x:c r="F871" s="68"/>
      <x:c r="G871" s="74"/>
      <x:c r="H871" s="68"/>
      <x:c r="I871" s="75"/>
      <x:c r="J871" s="68"/>
      <x:c r="K871" s="74"/>
    </x:row>
    <x:row r="872" ht="20" customHeight="1">
      <x:c r="A872" s="37" t="str">
        <x:v>take</x:v>
      </x:c>
      <x:c r="B872" s="21" t="str"/>
      <x:c r="C872" s="38" t="str">
        <x:v>place 发生；举行</x:v>
      </x:c>
      <x:c r="D872" s="68"/>
      <x:c r="E872" s="75"/>
      <x:c r="F872" s="68"/>
      <x:c r="G872" s="74"/>
      <x:c r="H872" s="68"/>
      <x:c r="I872" s="75"/>
      <x:c r="J872" s="68"/>
      <x:c r="K872" s="74"/>
    </x:row>
    <x:row r="873" ht="20" customHeight="1">
      <x:c r="A873" s="39" t="str">
        <x:v>talk</x:v>
      </x:c>
      <x:c r="B873" s="28" t="str"/>
      <x:c r="C873" s="40" t="str">
        <x:v>about 谈论；议论</x:v>
      </x:c>
      <x:c r="D873" s="68"/>
      <x:c r="E873" s="75"/>
      <x:c r="F873" s="68"/>
      <x:c r="G873" s="74"/>
      <x:c r="H873" s="68"/>
      <x:c r="I873" s="75"/>
      <x:c r="J873" s="68"/>
      <x:c r="K873" s="74"/>
    </x:row>
    <x:row r="874" ht="20" customHeight="1">
      <x:c r="A874" s="37" t="str">
        <x:v>tell</x:v>
      </x:c>
      <x:c r="B874" s="21" t="str"/>
      <x:c r="C874" s="38" t="str">
        <x:v>the truth 说实话</x:v>
      </x:c>
      <x:c r="D874" s="68"/>
      <x:c r="E874" s="75"/>
      <x:c r="F874" s="68"/>
      <x:c r="G874" s="74"/>
      <x:c r="H874" s="68"/>
      <x:c r="I874" s="75"/>
      <x:c r="J874" s="68"/>
      <x:c r="K874" s="74"/>
    </x:row>
    <x:row r="875" ht="20" customHeight="1">
      <x:c r="A875" s="39" t="str">
        <x:v>thanks</x:v>
      </x:c>
      <x:c r="B875" s="28" t="str"/>
      <x:c r="C875" s="40" t="str">
        <x:v>to 多亏；由于</x:v>
      </x:c>
      <x:c r="D875" s="68"/>
      <x:c r="E875" s="75"/>
      <x:c r="F875" s="68"/>
      <x:c r="G875" s="74"/>
      <x:c r="H875" s="68"/>
      <x:c r="I875" s="75"/>
      <x:c r="J875" s="68"/>
      <x:c r="K875" s="74"/>
    </x:row>
    <x:row r="876" ht="20" customHeight="1">
      <x:c r="A876" s="37" t="str">
        <x:v>think</x:v>
      </x:c>
      <x:c r="B876" s="21" t="str"/>
      <x:c r="C876" s="38" t="str">
        <x:v>about 考虑；思考</x:v>
      </x:c>
      <x:c r="D876" s="68"/>
      <x:c r="E876" s="75"/>
      <x:c r="F876" s="68"/>
      <x:c r="G876" s="74"/>
      <x:c r="H876" s="68"/>
      <x:c r="I876" s="75"/>
      <x:c r="J876" s="68"/>
      <x:c r="K876" s="74"/>
    </x:row>
    <x:row r="877" ht="20" customHeight="1">
      <x:c r="A877" s="39" t="str">
        <x:v>throw</x:v>
      </x:c>
      <x:c r="B877" s="28" t="str"/>
      <x:c r="C877" s="40" t="str">
        <x:v>away 扔掉；丢弃</x:v>
      </x:c>
      <x:c r="D877" s="68"/>
      <x:c r="E877" s="75"/>
      <x:c r="F877" s="68"/>
      <x:c r="G877" s="74"/>
      <x:c r="H877" s="68"/>
      <x:c r="I877" s="75"/>
      <x:c r="J877" s="68"/>
      <x:c r="K877" s="74"/>
    </x:row>
    <x:row r="878" ht="20" customHeight="1">
      <x:c r="A878" s="37" t="str">
        <x:v>too</x:v>
      </x:c>
      <x:c r="B878" s="21" t="str"/>
      <x:c r="C878" s="38" t="str">
        <x:v>much 太多（注：T开头，此处补充）</x:v>
      </x:c>
      <x:c r="D878" s="68"/>
      <x:c r="E878" s="75"/>
      <x:c r="F878" s="68"/>
      <x:c r="G878" s="74"/>
      <x:c r="H878" s="68"/>
      <x:c r="I878" s="75"/>
      <x:c r="J878" s="68"/>
      <x:c r="K878" s="74"/>
    </x:row>
    <x:row r="879" ht="20" customHeight="1">
      <x:c r="A879" s="39" t="str">
        <x:v>try</x:v>
      </x:c>
      <x:c r="B879" s="28" t="str"/>
      <x:c r="C879" s="40" t="str">
        <x:v>on 试穿</x:v>
      </x:c>
      <x:c r="D879" s="68"/>
      <x:c r="E879" s="75"/>
      <x:c r="F879" s="68"/>
      <x:c r="G879" s="74"/>
      <x:c r="H879" s="68"/>
      <x:c r="I879" s="75"/>
      <x:c r="J879" s="68"/>
      <x:c r="K879" s="74"/>
    </x:row>
    <x:row r="880" ht="20" customHeight="1">
      <x:c r="A880" s="37" t="str">
        <x:v>try</x:v>
      </x:c>
      <x:c r="B880" s="21" t="str"/>
      <x:c r="C880" s="38" t="str">
        <x:v>one's best 尽某人最大努力</x:v>
      </x:c>
      <x:c r="D880" s="68"/>
      <x:c r="E880" s="75"/>
      <x:c r="F880" s="68"/>
      <x:c r="G880" s="74"/>
      <x:c r="H880" s="68"/>
      <x:c r="I880" s="75"/>
      <x:c r="J880" s="68"/>
      <x:c r="K880" s="74"/>
    </x:row>
    <x:row r="881" ht="20" customHeight="1">
      <x:c r="A881" s="39" t="str">
        <x:v>turn</x:v>
      </x:c>
      <x:c r="B881" s="28" t="str"/>
      <x:c r="C881" s="40" t="str">
        <x:v>on 打开（电器）</x:v>
      </x:c>
      <x:c r="D881" s="68"/>
      <x:c r="E881" s="75"/>
      <x:c r="F881" s="68"/>
      <x:c r="G881" s="74"/>
      <x:c r="H881" s="68"/>
      <x:c r="I881" s="75"/>
      <x:c r="J881" s="68"/>
      <x:c r="K881" s="74"/>
    </x:row>
    <x:row r="882" ht="20" customHeight="1">
      <x:c r="A882" s="37" t="str">
        <x:v>turn</x:v>
      </x:c>
      <x:c r="B882" s="21" t="str"/>
      <x:c r="C882" s="38" t="str">
        <x:v>off 关掉（电器）</x:v>
      </x:c>
      <x:c r="D882" s="68"/>
      <x:c r="E882" s="75"/>
      <x:c r="F882" s="68"/>
      <x:c r="G882" s="74"/>
      <x:c r="H882" s="68"/>
      <x:c r="I882" s="75"/>
      <x:c r="J882" s="68"/>
      <x:c r="K882" s="74"/>
    </x:row>
    <x:row r="883">
      <x:c r="A883" s="75"/>
      <x:c r="B883" s="68"/>
      <x:c r="C883" s="74"/>
      <x:c r="D883" s="68"/>
      <x:c r="E883" s="75"/>
      <x:c r="F883" s="68"/>
      <x:c r="G883" s="74"/>
      <x:c r="H883" s="68"/>
      <x:c r="I883" s="75"/>
      <x:c r="J883" s="68"/>
      <x:c r="K883" s="74"/>
    </x:row>
    <x:row r="884">
      <x:c r="A884" s="75"/>
      <x:c r="B884" s="68"/>
      <x:c r="C884" s="74"/>
      <x:c r="D884" s="68"/>
      <x:c r="E884" s="75"/>
      <x:c r="F884" s="68"/>
      <x:c r="G884" s="74"/>
      <x:c r="H884" s="68"/>
      <x:c r="I884" s="75"/>
      <x:c r="J884" s="68"/>
      <x:c r="K884" s="74"/>
    </x:row>
    <x:row r="885">
      <x:c r="A885" s="75"/>
      <x:c r="B885" s="68"/>
      <x:c r="C885" s="74"/>
      <x:c r="D885" s="68"/>
      <x:c r="E885" s="75"/>
      <x:c r="F885" s="68"/>
      <x:c r="G885" s="74"/>
      <x:c r="H885" s="68"/>
      <x:c r="I885" s="75"/>
      <x:c r="J885" s="68"/>
      <x:c r="K885" s="74"/>
    </x:row>
    <x:row r="886">
      <x:c r="A886" s="75"/>
      <x:c r="B886" s="68"/>
      <x:c r="C886" s="74"/>
      <x:c r="D886" s="68"/>
      <x:c r="E886" s="75"/>
      <x:c r="F886" s="68"/>
      <x:c r="G886" s="74"/>
      <x:c r="H886" s="68"/>
      <x:c r="I886" s="75"/>
      <x:c r="J886" s="68"/>
      <x:c r="K886" s="74"/>
    </x:row>
    <x:row r="887">
      <x:c r="A887" s="75"/>
      <x:c r="B887" s="68"/>
      <x:c r="C887" s="74"/>
      <x:c r="D887" s="68"/>
      <x:c r="E887" s="75"/>
      <x:c r="F887" s="68"/>
      <x:c r="G887" s="74"/>
      <x:c r="H887" s="68"/>
      <x:c r="I887" s="75"/>
      <x:c r="J887" s="68"/>
      <x:c r="K887" s="74"/>
    </x:row>
    <x:row r="888">
      <x:c r="A888" s="75"/>
      <x:c r="B888" s="68"/>
      <x:c r="C888" s="74"/>
      <x:c r="D888" s="68"/>
      <x:c r="E888" s="75"/>
      <x:c r="F888" s="68"/>
      <x:c r="G888" s="74"/>
      <x:c r="H888" s="68"/>
      <x:c r="I888" s="75"/>
      <x:c r="J888" s="68"/>
      <x:c r="K888" s="74"/>
    </x:row>
    <x:row r="889">
      <x:c r="A889" s="75"/>
      <x:c r="B889" s="68"/>
      <x:c r="C889" s="74"/>
      <x:c r="D889" s="68"/>
      <x:c r="E889" s="75"/>
      <x:c r="F889" s="68"/>
      <x:c r="G889" s="74"/>
      <x:c r="H889" s="68"/>
      <x:c r="I889" s="75"/>
      <x:c r="J889" s="68"/>
      <x:c r="K889" s="74"/>
    </x:row>
    <x:row r="890">
      <x:c r="A890" s="76"/>
      <x:c r="B890" s="77"/>
      <x:c r="C890" s="78"/>
      <x:c r="D890" s="68"/>
      <x:c r="E890" s="76"/>
      <x:c r="F890" s="77"/>
      <x:c r="G890" s="78"/>
      <x:c r="H890" s="68"/>
      <x:c r="I890" s="76"/>
      <x:c r="J890" s="77"/>
      <x:c r="K890" s="78"/>
    </x:row>
    <x:row r="891">
      <x:c r="A891" s="68"/>
      <x:c r="B891" s="68"/>
      <x:c r="C891" s="68"/>
      <x:c r="D891" s="68"/>
      <x:c r="E891" s="68"/>
      <x:c r="F891" s="68"/>
      <x:c r="G891" s="68"/>
      <x:c r="H891" s="68"/>
      <x:c r="I891" s="68"/>
      <x:c r="J891" s="68"/>
      <x:c r="K891" s="68"/>
    </x:row>
    <x:row r="892" ht="27" customHeight="1">
      <x:c r="A892" s="65" t="str">
        <x:v>U 开头单词</x:v>
      </x:c>
      <x:c r="B892" s="66"/>
      <x:c r="C892" s="67"/>
      <x:c r="D892" s="68"/>
      <x:c r="E892" s="69"/>
      <x:c r="F892" s="66"/>
      <x:c r="G892" s="67"/>
      <x:c r="H892" s="68"/>
      <x:c r="I892" s="69"/>
      <x:c r="J892" s="66"/>
      <x:c r="K892" s="67"/>
    </x:row>
    <x:row r="893" ht="19" customHeight="1">
      <x:c r="A893" s="70" t="str">
        <x:v>英文单词 / 短语</x:v>
      </x:c>
      <x:c r="B893" s="71" t="str">
        <x:v>音标</x:v>
      </x:c>
      <x:c r="C893" s="72" t="str">
        <x:v>中文解释</x:v>
      </x:c>
      <x:c r="D893" s="68"/>
      <x:c r="E893" s="70" t="str">
        <x:v>英文单词 / 短语</x:v>
      </x:c>
      <x:c r="F893" s="71" t="str">
        <x:v>音标</x:v>
      </x:c>
      <x:c r="G893" s="72" t="str">
        <x:v>中文解释</x:v>
      </x:c>
      <x:c r="H893" s="68"/>
      <x:c r="I893" s="70" t="str">
        <x:v>英文单词 / 短语</x:v>
      </x:c>
      <x:c r="J893" s="71" t="str">
        <x:v>音标</x:v>
      </x:c>
      <x:c r="K893" s="72" t="str">
        <x:v>中文解释</x:v>
      </x:c>
    </x:row>
    <x:row r="894" ht="17" customHeight="1">
      <x:c r="A894" s="73" t="str">
        <x:v>名词（4）</x:v>
      </x:c>
      <x:c r="B894" s="68"/>
      <x:c r="C894" s="74"/>
      <x:c r="D894" s="68"/>
      <x:c r="E894" s="75"/>
      <x:c r="F894" s="68"/>
      <x:c r="G894" s="74"/>
      <x:c r="H894" s="68"/>
      <x:c r="I894" s="75"/>
      <x:c r="J894" s="68"/>
      <x:c r="K894" s="74"/>
    </x:row>
    <x:row r="895" ht="20" customHeight="1">
      <x:c r="A895" s="37" t="str">
        <x:v>umbrella</x:v>
      </x:c>
      <x:c r="B895" s="21" t="str">
        <x:v>/ʌmˈbrelə/</x:v>
      </x:c>
      <x:c r="C895" s="38" t="str">
        <x:v>雨伞</x:v>
      </x:c>
      <x:c r="D895" s="68"/>
      <x:c r="E895" s="75"/>
      <x:c r="F895" s="68"/>
      <x:c r="G895" s="74"/>
      <x:c r="H895" s="68"/>
      <x:c r="I895" s="75"/>
      <x:c r="J895" s="68"/>
      <x:c r="K895" s="74"/>
    </x:row>
    <x:row r="896" ht="20" customHeight="1">
      <x:c r="A896" s="39" t="str">
        <x:v>uncle</x:v>
      </x:c>
      <x:c r="B896" s="28" t="str">
        <x:v>/ˈʌŋkl/</x:v>
      </x:c>
      <x:c r="C896" s="40" t="str">
        <x:v>叔叔；伯父；舅父</x:v>
      </x:c>
      <x:c r="D896" s="68"/>
      <x:c r="E896" s="75"/>
      <x:c r="F896" s="68"/>
      <x:c r="G896" s="74"/>
      <x:c r="H896" s="68"/>
      <x:c r="I896" s="75"/>
      <x:c r="J896" s="68"/>
      <x:c r="K896" s="74"/>
    </x:row>
    <x:row r="897" ht="20" customHeight="1">
      <x:c r="A897" s="37" t="str">
        <x:v>university</x:v>
      </x:c>
      <x:c r="B897" s="21" t="str">
        <x:v>/ˌjuːnɪˈvɜːsəti/</x:v>
      </x:c>
      <x:c r="C897" s="38" t="str">
        <x:v>大学</x:v>
      </x:c>
      <x:c r="D897" s="68"/>
      <x:c r="E897" s="75"/>
      <x:c r="F897" s="68"/>
      <x:c r="G897" s="74"/>
      <x:c r="H897" s="68"/>
      <x:c r="I897" s="75"/>
      <x:c r="J897" s="68"/>
      <x:c r="K897" s="74"/>
    </x:row>
    <x:row r="898" ht="20" customHeight="1">
      <x:c r="A898" s="39" t="str">
        <x:v>user</x:v>
      </x:c>
      <x:c r="B898" s="28" t="str">
        <x:v>/ˈjuːzə/</x:v>
      </x:c>
      <x:c r="C898" s="40" t="str">
        <x:v>用户</x:v>
      </x:c>
      <x:c r="D898" s="68"/>
      <x:c r="E898" s="75"/>
      <x:c r="F898" s="68"/>
      <x:c r="G898" s="74"/>
      <x:c r="H898" s="68"/>
      <x:c r="I898" s="75"/>
      <x:c r="J898" s="68"/>
      <x:c r="K898" s="74"/>
    </x:row>
    <x:row r="899" ht="17" customHeight="1">
      <x:c r="A899" s="73" t="str">
        <x:v>动词（2）</x:v>
      </x:c>
      <x:c r="B899" s="68"/>
      <x:c r="C899" s="74"/>
      <x:c r="D899" s="68"/>
      <x:c r="E899" s="75"/>
      <x:c r="F899" s="68"/>
      <x:c r="G899" s="74"/>
      <x:c r="H899" s="68"/>
      <x:c r="I899" s="75"/>
      <x:c r="J899" s="68"/>
      <x:c r="K899" s="74"/>
    </x:row>
    <x:row r="900" ht="20" customHeight="1">
      <x:c r="A900" s="39" t="str">
        <x:v>understand</x:v>
      </x:c>
      <x:c r="B900" s="28" t="str">
        <x:v>/ˌʌndəˈstænd/</x:v>
      </x:c>
      <x:c r="C900" s="40" t="str">
        <x:v>理解；明白</x:v>
      </x:c>
      <x:c r="D900" s="68"/>
      <x:c r="E900" s="75"/>
      <x:c r="F900" s="68"/>
      <x:c r="G900" s="74"/>
      <x:c r="H900" s="68"/>
      <x:c r="I900" s="75"/>
      <x:c r="J900" s="68"/>
      <x:c r="K900" s="74"/>
    </x:row>
    <x:row r="901" ht="20" customHeight="1">
      <x:c r="A901" s="37" t="str">
        <x:v>use</x:v>
      </x:c>
      <x:c r="B901" s="21" t="str">
        <x:v>/juːz/</x:v>
      </x:c>
      <x:c r="C901" s="38" t="str">
        <x:v>使用；利用</x:v>
      </x:c>
      <x:c r="D901" s="68"/>
      <x:c r="E901" s="75"/>
      <x:c r="F901" s="68"/>
      <x:c r="G901" s="74"/>
      <x:c r="H901" s="68"/>
      <x:c r="I901" s="75"/>
      <x:c r="J901" s="68"/>
      <x:c r="K901" s="74"/>
    </x:row>
    <x:row r="902" ht="17" customHeight="1">
      <x:c r="A902" s="73" t="str">
        <x:v>形容词（2）</x:v>
      </x:c>
      <x:c r="B902" s="68"/>
      <x:c r="C902" s="74"/>
      <x:c r="D902" s="68"/>
      <x:c r="E902" s="75"/>
      <x:c r="F902" s="68"/>
      <x:c r="G902" s="74"/>
      <x:c r="H902" s="68"/>
      <x:c r="I902" s="75"/>
      <x:c r="J902" s="68"/>
      <x:c r="K902" s="74"/>
    </x:row>
    <x:row r="903" ht="20" customHeight="1">
      <x:c r="A903" s="37" t="str">
        <x:v>ugly</x:v>
      </x:c>
      <x:c r="B903" s="21" t="str">
        <x:v>/ˈʌɡli/</x:v>
      </x:c>
      <x:c r="C903" s="38" t="str">
        <x:v>难看的；丑陋的</x:v>
      </x:c>
      <x:c r="D903" s="68"/>
      <x:c r="E903" s="75"/>
      <x:c r="F903" s="68"/>
      <x:c r="G903" s="74"/>
      <x:c r="H903" s="68"/>
      <x:c r="I903" s="75"/>
      <x:c r="J903" s="68"/>
      <x:c r="K903" s="74"/>
    </x:row>
    <x:row r="904" ht="20" customHeight="1">
      <x:c r="A904" s="39" t="str">
        <x:v>usual</x:v>
      </x:c>
      <x:c r="B904" s="28" t="str">
        <x:v>/ˈjuːʒuəl/</x:v>
      </x:c>
      <x:c r="C904" s="40" t="str">
        <x:v>通常的；平常的</x:v>
      </x:c>
      <x:c r="D904" s="68"/>
      <x:c r="E904" s="75"/>
      <x:c r="F904" s="68"/>
      <x:c r="G904" s="74"/>
      <x:c r="H904" s="68"/>
      <x:c r="I904" s="75"/>
      <x:c r="J904" s="68"/>
      <x:c r="K904" s="74"/>
    </x:row>
    <x:row r="905" ht="17" customHeight="1">
      <x:c r="A905" s="73" t="str">
        <x:v>副词（1）</x:v>
      </x:c>
      <x:c r="B905" s="68"/>
      <x:c r="C905" s="74"/>
      <x:c r="D905" s="68"/>
      <x:c r="E905" s="75"/>
      <x:c r="F905" s="68"/>
      <x:c r="G905" s="74"/>
      <x:c r="H905" s="68"/>
      <x:c r="I905" s="75"/>
      <x:c r="J905" s="68"/>
      <x:c r="K905" s="74"/>
    </x:row>
    <x:row r="906" ht="20" customHeight="1">
      <x:c r="A906" s="39" t="str">
        <x:v>usually</x:v>
      </x:c>
      <x:c r="B906" s="28" t="str">
        <x:v>/ˈjuːʒuəli/</x:v>
      </x:c>
      <x:c r="C906" s="40" t="str">
        <x:v>通常；平常</x:v>
      </x:c>
      <x:c r="D906" s="68"/>
      <x:c r="E906" s="75"/>
      <x:c r="F906" s="68"/>
      <x:c r="G906" s="74"/>
      <x:c r="H906" s="68"/>
      <x:c r="I906" s="75"/>
      <x:c r="J906" s="68"/>
      <x:c r="K906" s="74"/>
    </x:row>
    <x:row r="907" ht="17" customHeight="1">
      <x:c r="A907" s="73" t="str">
        <x:v>介词（1）</x:v>
      </x:c>
      <x:c r="B907" s="68"/>
      <x:c r="C907" s="74"/>
      <x:c r="D907" s="68"/>
      <x:c r="E907" s="75"/>
      <x:c r="F907" s="68"/>
      <x:c r="G907" s="74"/>
      <x:c r="H907" s="68"/>
      <x:c r="I907" s="75"/>
      <x:c r="J907" s="68"/>
      <x:c r="K907" s="74"/>
    </x:row>
    <x:row r="908" ht="20" customHeight="1">
      <x:c r="A908" s="39" t="str">
        <x:v>under</x:v>
      </x:c>
      <x:c r="B908" s="28" t="str">
        <x:v>/ˈʌndə/</x:v>
      </x:c>
      <x:c r="C908" s="40" t="str">
        <x:v>在……下面；在……下方</x:v>
      </x:c>
      <x:c r="D908" s="68"/>
      <x:c r="E908" s="75"/>
      <x:c r="F908" s="68"/>
      <x:c r="G908" s="74"/>
      <x:c r="H908" s="68"/>
      <x:c r="I908" s="75"/>
      <x:c r="J908" s="68"/>
      <x:c r="K908" s="74"/>
    </x:row>
    <x:row r="909" ht="17" customHeight="1">
      <x:c r="A909" s="73" t="str">
        <x:v>短语（2）</x:v>
      </x:c>
      <x:c r="B909" s="68"/>
      <x:c r="C909" s="74"/>
      <x:c r="D909" s="68"/>
      <x:c r="E909" s="75"/>
      <x:c r="F909" s="68"/>
      <x:c r="G909" s="74"/>
      <x:c r="H909" s="68"/>
      <x:c r="I909" s="75"/>
      <x:c r="J909" s="68"/>
      <x:c r="K909" s="74"/>
    </x:row>
    <x:row r="910" ht="20" customHeight="1">
      <x:c r="A910" s="39" t="str">
        <x:v>up</x:v>
      </x:c>
      <x:c r="B910" s="28" t="str"/>
      <x:c r="C910" s="40" t="str">
        <x:v>and down 上上下下；来回</x:v>
      </x:c>
      <x:c r="D910" s="68"/>
      <x:c r="E910" s="75"/>
      <x:c r="F910" s="68"/>
      <x:c r="G910" s="74"/>
      <x:c r="H910" s="68"/>
      <x:c r="I910" s="75"/>
      <x:c r="J910" s="68"/>
      <x:c r="K910" s="74"/>
    </x:row>
    <x:row r="911" ht="20" customHeight="1">
      <x:c r="A911" s="37" t="str">
        <x:v>use</x:v>
      </x:c>
      <x:c r="B911" s="21" t="str"/>
      <x:c r="C911" s="38" t="str">
        <x:v>up 用完；耗尽</x:v>
      </x:c>
      <x:c r="D911" s="68"/>
      <x:c r="E911" s="75"/>
      <x:c r="F911" s="68"/>
      <x:c r="G911" s="74"/>
      <x:c r="H911" s="68"/>
      <x:c r="I911" s="75"/>
      <x:c r="J911" s="68"/>
      <x:c r="K911" s="74"/>
    </x:row>
    <x:row r="912">
      <x:c r="A912" s="75"/>
      <x:c r="B912" s="68"/>
      <x:c r="C912" s="74"/>
      <x:c r="D912" s="68"/>
      <x:c r="E912" s="75"/>
      <x:c r="F912" s="68"/>
      <x:c r="G912" s="74"/>
      <x:c r="H912" s="68"/>
      <x:c r="I912" s="75"/>
      <x:c r="J912" s="68"/>
      <x:c r="K912" s="74"/>
    </x:row>
    <x:row r="913">
      <x:c r="A913" s="75"/>
      <x:c r="B913" s="68"/>
      <x:c r="C913" s="74"/>
      <x:c r="D913" s="68"/>
      <x:c r="E913" s="75"/>
      <x:c r="F913" s="68"/>
      <x:c r="G913" s="74"/>
      <x:c r="H913" s="68"/>
      <x:c r="I913" s="75"/>
      <x:c r="J913" s="68"/>
      <x:c r="K913" s="74"/>
    </x:row>
    <x:row r="914">
      <x:c r="A914" s="75"/>
      <x:c r="B914" s="68"/>
      <x:c r="C914" s="74"/>
      <x:c r="D914" s="68"/>
      <x:c r="E914" s="75"/>
      <x:c r="F914" s="68"/>
      <x:c r="G914" s="74"/>
      <x:c r="H914" s="68"/>
      <x:c r="I914" s="75"/>
      <x:c r="J914" s="68"/>
      <x:c r="K914" s="74"/>
    </x:row>
    <x:row r="915">
      <x:c r="A915" s="75"/>
      <x:c r="B915" s="68"/>
      <x:c r="C915" s="74"/>
      <x:c r="D915" s="68"/>
      <x:c r="E915" s="75"/>
      <x:c r="F915" s="68"/>
      <x:c r="G915" s="74"/>
      <x:c r="H915" s="68"/>
      <x:c r="I915" s="75"/>
      <x:c r="J915" s="68"/>
      <x:c r="K915" s="74"/>
    </x:row>
    <x:row r="916">
      <x:c r="A916" s="75"/>
      <x:c r="B916" s="68"/>
      <x:c r="C916" s="74"/>
      <x:c r="D916" s="68"/>
      <x:c r="E916" s="75"/>
      <x:c r="F916" s="68"/>
      <x:c r="G916" s="74"/>
      <x:c r="H916" s="68"/>
      <x:c r="I916" s="75"/>
      <x:c r="J916" s="68"/>
      <x:c r="K916" s="74"/>
    </x:row>
    <x:row r="917">
      <x:c r="A917" s="76"/>
      <x:c r="B917" s="77"/>
      <x:c r="C917" s="78"/>
      <x:c r="D917" s="68"/>
      <x:c r="E917" s="76"/>
      <x:c r="F917" s="77"/>
      <x:c r="G917" s="78"/>
      <x:c r="H917" s="68"/>
      <x:c r="I917" s="76"/>
      <x:c r="J917" s="77"/>
      <x:c r="K917" s="78"/>
    </x:row>
    <x:row r="918">
      <x:c r="A918" s="68"/>
      <x:c r="B918" s="68"/>
      <x:c r="C918" s="68"/>
      <x:c r="D918" s="68"/>
      <x:c r="E918" s="68"/>
      <x:c r="F918" s="68"/>
      <x:c r="G918" s="68"/>
      <x:c r="H918" s="68"/>
      <x:c r="I918" s="68"/>
      <x:c r="J918" s="68"/>
      <x:c r="K918" s="68"/>
    </x:row>
    <x:row r="919" ht="27" customHeight="1">
      <x:c r="A919" s="65" t="str">
        <x:v>V 开头单词</x:v>
      </x:c>
      <x:c r="B919" s="66"/>
      <x:c r="C919" s="67"/>
      <x:c r="D919" s="68"/>
      <x:c r="E919" s="69"/>
      <x:c r="F919" s="66"/>
      <x:c r="G919" s="67"/>
      <x:c r="H919" s="68"/>
      <x:c r="I919" s="69"/>
      <x:c r="J919" s="66"/>
      <x:c r="K919" s="67"/>
    </x:row>
    <x:row r="920" ht="19" customHeight="1">
      <x:c r="A920" s="70" t="str">
        <x:v>英文单词 / 短语</x:v>
      </x:c>
      <x:c r="B920" s="71" t="str">
        <x:v>音标</x:v>
      </x:c>
      <x:c r="C920" s="72" t="str">
        <x:v>中文解释</x:v>
      </x:c>
      <x:c r="D920" s="68"/>
      <x:c r="E920" s="70" t="str">
        <x:v>英文单词 / 短语</x:v>
      </x:c>
      <x:c r="F920" s="71" t="str">
        <x:v>音标</x:v>
      </x:c>
      <x:c r="G920" s="72" t="str">
        <x:v>中文解释</x:v>
      </x:c>
      <x:c r="H920" s="68"/>
      <x:c r="I920" s="70" t="str">
        <x:v>英文单词 / 短语</x:v>
      </x:c>
      <x:c r="J920" s="71" t="str">
        <x:v>音标</x:v>
      </x:c>
      <x:c r="K920" s="72" t="str">
        <x:v>中文解释</x:v>
      </x:c>
    </x:row>
    <x:row r="921" ht="17" customHeight="1">
      <x:c r="A921" s="73" t="str">
        <x:v>名词（8）</x:v>
      </x:c>
      <x:c r="B921" s="68"/>
      <x:c r="C921" s="74"/>
      <x:c r="D921" s="68"/>
      <x:c r="E921" s="75"/>
      <x:c r="F921" s="68"/>
      <x:c r="G921" s="74"/>
      <x:c r="H921" s="68"/>
      <x:c r="I921" s="75"/>
      <x:c r="J921" s="68"/>
      <x:c r="K921" s="74"/>
    </x:row>
    <x:row r="922" ht="20" customHeight="1">
      <x:c r="A922" s="37" t="str">
        <x:v>vacation</x:v>
      </x:c>
      <x:c r="B922" s="21" t="str">
        <x:v>/veɪˈkeɪʃn/</x:v>
      </x:c>
      <x:c r="C922" s="38" t="str">
        <x:v>假期；休假</x:v>
      </x:c>
      <x:c r="D922" s="68"/>
      <x:c r="E922" s="75"/>
      <x:c r="F922" s="68"/>
      <x:c r="G922" s="74"/>
      <x:c r="H922" s="68"/>
      <x:c r="I922" s="75"/>
      <x:c r="J922" s="68"/>
      <x:c r="K922" s="74"/>
    </x:row>
    <x:row r="923" ht="20" customHeight="1">
      <x:c r="A923" s="39" t="str">
        <x:v>value</x:v>
      </x:c>
      <x:c r="B923" s="28" t="str">
        <x:v>/ˈvæljuː/</x:v>
      </x:c>
      <x:c r="C923" s="40" t="str">
        <x:v>价值；有用性</x:v>
      </x:c>
      <x:c r="D923" s="68"/>
      <x:c r="E923" s="75"/>
      <x:c r="F923" s="68"/>
      <x:c r="G923" s="74"/>
      <x:c r="H923" s="68"/>
      <x:c r="I923" s="75"/>
      <x:c r="J923" s="68"/>
      <x:c r="K923" s="74"/>
    </x:row>
    <x:row r="924" ht="20" customHeight="1">
      <x:c r="A924" s="37" t="str">
        <x:v>vegetable</x:v>
      </x:c>
      <x:c r="B924" s="21" t="str">
        <x:v>/ˈvedʒtəbl/</x:v>
      </x:c>
      <x:c r="C924" s="38" t="str">
        <x:v>蔬菜</x:v>
      </x:c>
      <x:c r="D924" s="68"/>
      <x:c r="E924" s="75"/>
      <x:c r="F924" s="68"/>
      <x:c r="G924" s="74"/>
      <x:c r="H924" s="68"/>
      <x:c r="I924" s="75"/>
      <x:c r="J924" s="68"/>
      <x:c r="K924" s="74"/>
    </x:row>
    <x:row r="925" ht="20" customHeight="1">
      <x:c r="A925" s="39" t="str">
        <x:v>video</x:v>
      </x:c>
      <x:c r="B925" s="28" t="str">
        <x:v>/ˈvɪdiəʊ/</x:v>
      </x:c>
      <x:c r="C925" s="40" t="str">
        <x:v>电子录像；视频</x:v>
      </x:c>
      <x:c r="D925" s="68"/>
      <x:c r="E925" s="75"/>
      <x:c r="F925" s="68"/>
      <x:c r="G925" s="74"/>
      <x:c r="H925" s="68"/>
      <x:c r="I925" s="75"/>
      <x:c r="J925" s="68"/>
      <x:c r="K925" s="74"/>
    </x:row>
    <x:row r="926" ht="20" customHeight="1">
      <x:c r="A926" s="37" t="str">
        <x:v>village</x:v>
      </x:c>
      <x:c r="B926" s="21" t="str">
        <x:v>/ˈvɪlɪdʒ/</x:v>
      </x:c>
      <x:c r="C926" s="38" t="str">
        <x:v>村庄</x:v>
      </x:c>
      <x:c r="D926" s="68"/>
      <x:c r="E926" s="75"/>
      <x:c r="F926" s="68"/>
      <x:c r="G926" s="74"/>
      <x:c r="H926" s="68"/>
      <x:c r="I926" s="75"/>
      <x:c r="J926" s="68"/>
      <x:c r="K926" s="74"/>
    </x:row>
    <x:row r="927" ht="20" customHeight="1">
      <x:c r="A927" s="39" t="str">
        <x:v>visitor</x:v>
      </x:c>
      <x:c r="B927" s="28" t="str">
        <x:v>/ˈvɪzɪtə/</x:v>
      </x:c>
      <x:c r="C927" s="40" t="str">
        <x:v>游客；观光者</x:v>
      </x:c>
      <x:c r="D927" s="68"/>
      <x:c r="E927" s="75"/>
      <x:c r="F927" s="68"/>
      <x:c r="G927" s="74"/>
      <x:c r="H927" s="68"/>
      <x:c r="I927" s="75"/>
      <x:c r="J927" s="68"/>
      <x:c r="K927" s="74"/>
    </x:row>
    <x:row r="928" ht="20" customHeight="1">
      <x:c r="A928" s="37" t="str">
        <x:v>volleyball</x:v>
      </x:c>
      <x:c r="B928" s="21" t="str">
        <x:v>/ˈvɒlibɔːl/</x:v>
      </x:c>
      <x:c r="C928" s="38" t="str">
        <x:v>排球</x:v>
      </x:c>
      <x:c r="D928" s="68"/>
      <x:c r="E928" s="75"/>
      <x:c r="F928" s="68"/>
      <x:c r="G928" s="74"/>
      <x:c r="H928" s="68"/>
      <x:c r="I928" s="75"/>
      <x:c r="J928" s="68"/>
      <x:c r="K928" s="74"/>
    </x:row>
    <x:row r="929" ht="20" customHeight="1">
      <x:c r="A929" s="39" t="str">
        <x:v>vocabulary</x:v>
      </x:c>
      <x:c r="B929" s="28" t="str">
        <x:v>/vəˈkæbjələri/</x:v>
      </x:c>
      <x:c r="C929" s="40" t="str">
        <x:v>词汇；词汇量</x:v>
      </x:c>
      <x:c r="D929" s="68"/>
      <x:c r="E929" s="75"/>
      <x:c r="F929" s="68"/>
      <x:c r="G929" s="74"/>
      <x:c r="H929" s="68"/>
      <x:c r="I929" s="75"/>
      <x:c r="J929" s="68"/>
      <x:c r="K929" s="74"/>
    </x:row>
    <x:row r="930" ht="17" customHeight="1">
      <x:c r="A930" s="73" t="str">
        <x:v>动词（2）</x:v>
      </x:c>
      <x:c r="B930" s="68"/>
      <x:c r="C930" s="74"/>
      <x:c r="D930" s="68"/>
      <x:c r="E930" s="75"/>
      <x:c r="F930" s="68"/>
      <x:c r="G930" s="74"/>
      <x:c r="H930" s="68"/>
      <x:c r="I930" s="75"/>
      <x:c r="J930" s="68"/>
      <x:c r="K930" s="74"/>
    </x:row>
    <x:row r="931" ht="20" customHeight="1">
      <x:c r="A931" s="39" t="str">
        <x:v>visit</x:v>
      </x:c>
      <x:c r="B931" s="28" t="str">
        <x:v>/ˈvɪzɪt/</x:v>
      </x:c>
      <x:c r="C931" s="40" t="str">
        <x:v>参观；访问；拜访</x:v>
      </x:c>
      <x:c r="D931" s="68"/>
      <x:c r="E931" s="75"/>
      <x:c r="F931" s="68"/>
      <x:c r="G931" s="74"/>
      <x:c r="H931" s="68"/>
      <x:c r="I931" s="75"/>
      <x:c r="J931" s="68"/>
      <x:c r="K931" s="74"/>
    </x:row>
    <x:row r="932" ht="20" customHeight="1">
      <x:c r="A932" s="37" t="str">
        <x:v>volunteer</x:v>
      </x:c>
      <x:c r="B932" s="21" t="str">
        <x:v>/ˌvɒlənˈtɪə/</x:v>
      </x:c>
      <x:c r="C932" s="38" t="str">
        <x:v>自愿做；义务做</x:v>
      </x:c>
      <x:c r="D932" s="68"/>
      <x:c r="E932" s="75"/>
      <x:c r="F932" s="68"/>
      <x:c r="G932" s="74"/>
      <x:c r="H932" s="68"/>
      <x:c r="I932" s="75"/>
      <x:c r="J932" s="68"/>
      <x:c r="K932" s="74"/>
    </x:row>
    <x:row r="933" ht="17" customHeight="1">
      <x:c r="A933" s="73" t="str">
        <x:v>形容词（4）</x:v>
      </x:c>
      <x:c r="B933" s="68"/>
      <x:c r="C933" s="74"/>
      <x:c r="D933" s="68"/>
      <x:c r="E933" s="75"/>
      <x:c r="F933" s="68"/>
      <x:c r="G933" s="74"/>
      <x:c r="H933" s="68"/>
      <x:c r="I933" s="75"/>
      <x:c r="J933" s="68"/>
      <x:c r="K933" s="74"/>
    </x:row>
    <x:row r="934" ht="20" customHeight="1">
      <x:c r="A934" s="37" t="str">
        <x:v>valuable</x:v>
      </x:c>
      <x:c r="B934" s="21" t="str">
        <x:v>/ˈvæljuəbl/</x:v>
      </x:c>
      <x:c r="C934" s="38" t="str">
        <x:v>有价值的；有用的</x:v>
      </x:c>
      <x:c r="D934" s="68"/>
      <x:c r="E934" s="75"/>
      <x:c r="F934" s="68"/>
      <x:c r="G934" s="74"/>
      <x:c r="H934" s="68"/>
      <x:c r="I934" s="75"/>
      <x:c r="J934" s="68"/>
      <x:c r="K934" s="74"/>
    </x:row>
    <x:row r="935" ht="20" customHeight="1">
      <x:c r="A935" s="39" t="str">
        <x:v>various</x:v>
      </x:c>
      <x:c r="B935" s="28" t="str">
        <x:v>/ˈveəriəs/</x:v>
      </x:c>
      <x:c r="C935" s="40" t="str">
        <x:v>各种各样的；不同的</x:v>
      </x:c>
      <x:c r="D935" s="68"/>
      <x:c r="E935" s="75"/>
      <x:c r="F935" s="68"/>
      <x:c r="G935" s="74"/>
      <x:c r="H935" s="68"/>
      <x:c r="I935" s="75"/>
      <x:c r="J935" s="68"/>
      <x:c r="K935" s="74"/>
    </x:row>
    <x:row r="936" ht="20" customHeight="1">
      <x:c r="A936" s="37" t="str">
        <x:v>very</x:v>
      </x:c>
      <x:c r="B936" s="21" t="str">
        <x:v>/ˈveri/</x:v>
      </x:c>
      <x:c r="C936" s="38" t="str">
        <x:v>很；非常（兼作副词）</x:v>
      </x:c>
      <x:c r="D936" s="68"/>
      <x:c r="E936" s="75"/>
      <x:c r="F936" s="68"/>
      <x:c r="G936" s="74"/>
      <x:c r="H936" s="68"/>
      <x:c r="I936" s="75"/>
      <x:c r="J936" s="68"/>
      <x:c r="K936" s="74"/>
    </x:row>
    <x:row r="937" ht="20" customHeight="1">
      <x:c r="A937" s="39" t="str">
        <x:v>violent</x:v>
      </x:c>
      <x:c r="B937" s="28" t="str">
        <x:v>/ˈvaɪələnt/</x:v>
      </x:c>
      <x:c r="C937" s="40" t="str">
        <x:v>暴力的；猛烈的（补充高频词）</x:v>
      </x:c>
      <x:c r="D937" s="68"/>
      <x:c r="E937" s="75"/>
      <x:c r="F937" s="68"/>
      <x:c r="G937" s="74"/>
      <x:c r="H937" s="68"/>
      <x:c r="I937" s="75"/>
      <x:c r="J937" s="68"/>
      <x:c r="K937" s="74"/>
    </x:row>
    <x:row r="938" ht="17" customHeight="1">
      <x:c r="A938" s="73" t="str">
        <x:v>副词（1）</x:v>
      </x:c>
      <x:c r="B938" s="68"/>
      <x:c r="C938" s="74"/>
      <x:c r="D938" s="68"/>
      <x:c r="E938" s="75"/>
      <x:c r="F938" s="68"/>
      <x:c r="G938" s="74"/>
      <x:c r="H938" s="68"/>
      <x:c r="I938" s="75"/>
      <x:c r="J938" s="68"/>
      <x:c r="K938" s="74"/>
    </x:row>
    <x:row r="939" ht="20" customHeight="1">
      <x:c r="A939" s="39" t="str">
        <x:v>very</x:v>
      </x:c>
      <x:c r="B939" s="28" t="str">
        <x:v>/ˈveri/</x:v>
      </x:c>
      <x:c r="C939" s="40" t="str">
        <x:v>很；非常</x:v>
      </x:c>
      <x:c r="D939" s="68"/>
      <x:c r="E939" s="75"/>
      <x:c r="F939" s="68"/>
      <x:c r="G939" s="74"/>
      <x:c r="H939" s="68"/>
      <x:c r="I939" s="75"/>
      <x:c r="J939" s="68"/>
      <x:c r="K939" s="74"/>
    </x:row>
    <x:row r="940" ht="17" customHeight="1">
      <x:c r="A940" s="73" t="str">
        <x:v>短语（2）</x:v>
      </x:c>
      <x:c r="B940" s="68"/>
      <x:c r="C940" s="74"/>
      <x:c r="D940" s="68"/>
      <x:c r="E940" s="75"/>
      <x:c r="F940" s="68"/>
      <x:c r="G940" s="74"/>
      <x:c r="H940" s="68"/>
      <x:c r="I940" s="75"/>
      <x:c r="J940" s="68"/>
      <x:c r="K940" s="74"/>
    </x:row>
    <x:row r="941" ht="20" customHeight="1">
      <x:c r="A941" s="39" t="str">
        <x:v>visit sb.</x:v>
      </x:c>
      <x:c r="B941" s="28" t="str">
        <x:v>/ sp. 拜访某人/</x:v>
      </x:c>
      <x:c r="C941" s="40" t="str">
        <x:v>参观某地</x:v>
      </x:c>
      <x:c r="D941" s="68"/>
      <x:c r="E941" s="75"/>
      <x:c r="F941" s="68"/>
      <x:c r="G941" s="74"/>
      <x:c r="H941" s="68"/>
      <x:c r="I941" s="75"/>
      <x:c r="J941" s="68"/>
      <x:c r="K941" s="74"/>
    </x:row>
    <x:row r="942" ht="20" customHeight="1">
      <x:c r="A942" s="37" t="str">
        <x:v>volunteer</x:v>
      </x:c>
      <x:c r="B942" s="21" t="str"/>
      <x:c r="C942" s="38" t="str">
        <x:v>to do sth. 自愿做某事</x:v>
      </x:c>
      <x:c r="D942" s="68"/>
      <x:c r="E942" s="75"/>
      <x:c r="F942" s="68"/>
      <x:c r="G942" s="74"/>
      <x:c r="H942" s="68"/>
      <x:c r="I942" s="75"/>
      <x:c r="J942" s="68"/>
      <x:c r="K942" s="74"/>
    </x:row>
    <x:row r="943">
      <x:c r="A943" s="75"/>
      <x:c r="B943" s="68"/>
      <x:c r="C943" s="74"/>
      <x:c r="D943" s="68"/>
      <x:c r="E943" s="75"/>
      <x:c r="F943" s="68"/>
      <x:c r="G943" s="74"/>
      <x:c r="H943" s="68"/>
      <x:c r="I943" s="75"/>
      <x:c r="J943" s="68"/>
      <x:c r="K943" s="74"/>
    </x:row>
    <x:row r="944">
      <x:c r="A944" s="76"/>
      <x:c r="B944" s="77"/>
      <x:c r="C944" s="78"/>
      <x:c r="D944" s="68"/>
      <x:c r="E944" s="76"/>
      <x:c r="F944" s="77"/>
      <x:c r="G944" s="78"/>
      <x:c r="H944" s="68"/>
      <x:c r="I944" s="76"/>
      <x:c r="J944" s="77"/>
      <x:c r="K944" s="78"/>
    </x:row>
    <x:row r="945">
      <x:c r="A945" s="68"/>
      <x:c r="B945" s="68"/>
      <x:c r="C945" s="68"/>
      <x:c r="D945" s="68"/>
      <x:c r="E945" s="68"/>
      <x:c r="F945" s="68"/>
      <x:c r="G945" s="68"/>
      <x:c r="H945" s="68"/>
      <x:c r="I945" s="68"/>
      <x:c r="J945" s="68"/>
      <x:c r="K945" s="68"/>
    </x:row>
    <x:row r="946" ht="27" customHeight="1">
      <x:c r="A946" s="65" t="str">
        <x:v>W 开头单词（1/2）</x:v>
      </x:c>
      <x:c r="B946" s="66"/>
      <x:c r="C946" s="67"/>
      <x:c r="D946" s="68"/>
      <x:c r="E946" s="69"/>
      <x:c r="F946" s="66"/>
      <x:c r="G946" s="67"/>
      <x:c r="H946" s="68"/>
      <x:c r="I946" s="69"/>
      <x:c r="J946" s="66"/>
      <x:c r="K946" s="67"/>
    </x:row>
    <x:row r="947" ht="19" customHeight="1">
      <x:c r="A947" s="70" t="str">
        <x:v>英文单词 / 短语</x:v>
      </x:c>
      <x:c r="B947" s="71" t="str">
        <x:v>音标</x:v>
      </x:c>
      <x:c r="C947" s="72" t="str">
        <x:v>中文解释</x:v>
      </x:c>
      <x:c r="D947" s="68"/>
      <x:c r="E947" s="70" t="str">
        <x:v>英文单词 / 短语</x:v>
      </x:c>
      <x:c r="F947" s="71" t="str">
        <x:v>音标</x:v>
      </x:c>
      <x:c r="G947" s="72" t="str">
        <x:v>中文解释</x:v>
      </x:c>
      <x:c r="H947" s="68"/>
      <x:c r="I947" s="70" t="str">
        <x:v>英文单词 / 短语</x:v>
      </x:c>
      <x:c r="J947" s="71" t="str">
        <x:v>音标</x:v>
      </x:c>
      <x:c r="K947" s="72" t="str">
        <x:v>中文解释</x:v>
      </x:c>
    </x:row>
    <x:row r="948" ht="20" customHeight="1">
      <x:c r="A948" s="73" t="str">
        <x:v>名词（39）</x:v>
      </x:c>
      <x:c r="B948" s="68"/>
      <x:c r="C948" s="74"/>
      <x:c r="D948" s="68"/>
      <x:c r="E948" s="39" t="str">
        <x:v>wife</x:v>
      </x:c>
      <x:c r="F948" s="28" t="str">
        <x:v>/waɪf/</x:v>
      </x:c>
      <x:c r="G948" s="40" t="str">
        <x:v>妻子；太太</x:v>
      </x:c>
      <x:c r="H948" s="68"/>
      <x:c r="I948" s="39" t="str">
        <x:v>wear</x:v>
      </x:c>
      <x:c r="J948" s="28" t="str">
        <x:v>/weə/</x:v>
      </x:c>
      <x:c r="K948" s="40" t="str">
        <x:v>穿；戴</x:v>
      </x:c>
    </x:row>
    <x:row r="949" ht="20" customHeight="1">
      <x:c r="A949" s="37" t="str">
        <x:v>wait</x:v>
      </x:c>
      <x:c r="B949" s="21" t="str">
        <x:v>/weɪt/</x:v>
      </x:c>
      <x:c r="C949" s="38" t="str">
        <x:v>等待；等候</x:v>
      </x:c>
      <x:c r="D949" s="68"/>
      <x:c r="E949" s="37" t="str">
        <x:v>wild</x:v>
      </x:c>
      <x:c r="F949" s="21" t="str">
        <x:v>/waɪld/</x:v>
      </x:c>
      <x:c r="G949" s="38" t="str">
        <x:v>野生的东西（兼作形容词）</x:v>
      </x:c>
      <x:c r="H949" s="68"/>
      <x:c r="I949" s="37" t="str">
        <x:v>welcome</x:v>
      </x:c>
      <x:c r="J949" s="21" t="str">
        <x:v>/ˈwelkəm/</x:v>
      </x:c>
      <x:c r="K949" s="38" t="str">
        <x:v>欢迎</x:v>
      </x:c>
    </x:row>
    <x:row r="950" ht="20" customHeight="1">
      <x:c r="A950" s="39" t="str">
        <x:v>walk</x:v>
      </x:c>
      <x:c r="B950" s="28" t="str">
        <x:v>/wɔːk/</x:v>
      </x:c>
      <x:c r="C950" s="40" t="str">
        <x:v>步行；散步</x:v>
      </x:c>
      <x:c r="D950" s="68"/>
      <x:c r="E950" s="39" t="str">
        <x:v>will</x:v>
      </x:c>
      <x:c r="F950" s="28" t="str">
        <x:v>/wɪl/</x:v>
      </x:c>
      <x:c r="G950" s="40" t="str">
        <x:v>意志；意愿（兼作情态动词）</x:v>
      </x:c>
      <x:c r="H950" s="68"/>
      <x:c r="I950" s="39" t="str">
        <x:v>will</x:v>
      </x:c>
      <x:c r="J950" s="28" t="str">
        <x:v>/wɪl/</x:v>
      </x:c>
      <x:c r="K950" s="40" t="str">
        <x:v>愿意；将要（情态动词）</x:v>
      </x:c>
    </x:row>
    <x:row r="951" ht="20" customHeight="1">
      <x:c r="A951" s="37" t="str">
        <x:v>wall</x:v>
      </x:c>
      <x:c r="B951" s="21" t="str">
        <x:v>/wɔːl/</x:v>
      </x:c>
      <x:c r="C951" s="38" t="str">
        <x:v>墙；墙壁</x:v>
      </x:c>
      <x:c r="D951" s="68"/>
      <x:c r="E951" s="37" t="str">
        <x:v>wind</x:v>
      </x:c>
      <x:c r="F951" s="21" t="str">
        <x:v>/wɪnd/</x:v>
      </x:c>
      <x:c r="G951" s="38" t="str">
        <x:v>风</x:v>
      </x:c>
      <x:c r="H951" s="68"/>
      <x:c r="I951" s="37" t="str">
        <x:v>win</x:v>
      </x:c>
      <x:c r="J951" s="21" t="str">
        <x:v>/wɪn/</x:v>
      </x:c>
      <x:c r="K951" s="38" t="str">
        <x:v>赢；获胜</x:v>
      </x:c>
    </x:row>
    <x:row r="952" ht="20" customHeight="1">
      <x:c r="A952" s="39" t="str">
        <x:v>want</x:v>
      </x:c>
      <x:c r="B952" s="28" t="str">
        <x:v>/wɒnt/</x:v>
      </x:c>
      <x:c r="C952" s="40" t="str">
        <x:v>想要；需要</x:v>
      </x:c>
      <x:c r="D952" s="68"/>
      <x:c r="E952" s="39" t="str">
        <x:v>window</x:v>
      </x:c>
      <x:c r="F952" s="28" t="str">
        <x:v>/ˈwɪndəʊ/</x:v>
      </x:c>
      <x:c r="G952" s="40" t="str">
        <x:v>窗户</x:v>
      </x:c>
      <x:c r="H952" s="68"/>
      <x:c r="I952" s="39" t="str">
        <x:v>wish</x:v>
      </x:c>
      <x:c r="J952" s="28" t="str">
        <x:v>/wɪʃ/</x:v>
      </x:c>
      <x:c r="K952" s="40" t="str">
        <x:v>希望；祝愿</x:v>
      </x:c>
    </x:row>
    <x:row r="953" ht="20" customHeight="1">
      <x:c r="A953" s="37" t="str">
        <x:v>water</x:v>
      </x:c>
      <x:c r="B953" s="21" t="str">
        <x:v>/ˈwɔːtə/</x:v>
      </x:c>
      <x:c r="C953" s="38" t="str">
        <x:v>水</x:v>
      </x:c>
      <x:c r="D953" s="68"/>
      <x:c r="E953" s="37" t="str">
        <x:v>winter</x:v>
      </x:c>
      <x:c r="F953" s="21" t="str">
        <x:v>/ˈwɪntə/</x:v>
      </x:c>
      <x:c r="G953" s="38" t="str">
        <x:v>冬天；冬季</x:v>
      </x:c>
      <x:c r="H953" s="68"/>
      <x:c r="I953" s="37" t="str">
        <x:v>work</x:v>
      </x:c>
      <x:c r="J953" s="21" t="str">
        <x:v>/wɜːk/</x:v>
      </x:c>
      <x:c r="K953" s="38" t="str">
        <x:v>工作；劳动</x:v>
      </x:c>
    </x:row>
    <x:row r="954" ht="20" customHeight="1">
      <x:c r="A954" s="39" t="str">
        <x:v>way</x:v>
      </x:c>
      <x:c r="B954" s="28" t="str">
        <x:v>/weɪ/</x:v>
      </x:c>
      <x:c r="C954" s="40" t="str">
        <x:v>方式；方法；路</x:v>
      </x:c>
      <x:c r="D954" s="68"/>
      <x:c r="E954" s="39" t="str">
        <x:v>wish</x:v>
      </x:c>
      <x:c r="F954" s="28" t="str">
        <x:v>/wɪʃ/</x:v>
      </x:c>
      <x:c r="G954" s="40" t="str">
        <x:v>愿望；希望</x:v>
      </x:c>
      <x:c r="H954" s="68"/>
      <x:c r="I954" s="39" t="str">
        <x:v>worry</x:v>
      </x:c>
      <x:c r="J954" s="28" t="str">
        <x:v>/ˈwʌri/</x:v>
      </x:c>
      <x:c r="K954" s="40" t="str">
        <x:v>担心；忧虑</x:v>
      </x:c>
    </x:row>
    <x:row r="955" ht="20" customHeight="1">
      <x:c r="A955" s="37" t="str">
        <x:v>weather</x:v>
      </x:c>
      <x:c r="B955" s="21" t="str">
        <x:v>/ˈweðə/</x:v>
      </x:c>
      <x:c r="C955" s="38" t="str">
        <x:v>天气</x:v>
      </x:c>
      <x:c r="D955" s="68"/>
      <x:c r="E955" s="37" t="str">
        <x:v>with</x:v>
      </x:c>
      <x:c r="F955" s="21" t="str">
        <x:v>/wɪð/</x:v>
      </x:c>
      <x:c r="G955" s="38" t="str">
        <x:v>和……一起；带有（介词）</x:v>
      </x:c>
      <x:c r="H955" s="68"/>
      <x:c r="I955" s="37" t="str">
        <x:v>write</x:v>
      </x:c>
      <x:c r="J955" s="21" t="str">
        <x:v>/raɪt/</x:v>
      </x:c>
      <x:c r="K955" s="38" t="str">
        <x:v>写；写作；书写</x:v>
      </x:c>
    </x:row>
    <x:row r="956" ht="17" customHeight="1">
      <x:c r="A956" s="39" t="str">
        <x:v>Wednesday</x:v>
      </x:c>
      <x:c r="B956" s="28" t="str">
        <x:v>/ˈwenzdeɪ/</x:v>
      </x:c>
      <x:c r="C956" s="40" t="str">
        <x:v>星期三</x:v>
      </x:c>
      <x:c r="D956" s="68"/>
      <x:c r="E956" s="39" t="str">
        <x:v>woman</x:v>
      </x:c>
      <x:c r="F956" s="28" t="str">
        <x:v>/ˈwʊmən/</x:v>
      </x:c>
      <x:c r="G956" s="40" t="str">
        <x:v>妇女；女人</x:v>
      </x:c>
      <x:c r="H956" s="68"/>
      <x:c r="I956" s="73" t="str">
        <x:v>形容词（12）</x:v>
      </x:c>
      <x:c r="J956" s="68"/>
      <x:c r="K956" s="74"/>
    </x:row>
    <x:row r="957" ht="20" customHeight="1">
      <x:c r="A957" s="37" t="str">
        <x:v>weekend</x:v>
      </x:c>
      <x:c r="B957" s="21" t="str">
        <x:v>/ˌwiːkˈend/</x:v>
      </x:c>
      <x:c r="C957" s="38" t="str">
        <x:v>周末</x:v>
      </x:c>
      <x:c r="D957" s="68"/>
      <x:c r="E957" s="37" t="str">
        <x:v>word</x:v>
      </x:c>
      <x:c r="F957" s="21" t="str">
        <x:v>/wɜːd/</x:v>
      </x:c>
      <x:c r="G957" s="38" t="str">
        <x:v>词；单词</x:v>
      </x:c>
      <x:c r="H957" s="68"/>
      <x:c r="I957" s="37" t="str">
        <x:v>warm</x:v>
      </x:c>
      <x:c r="J957" s="21" t="str">
        <x:v>/wɔːm/</x:v>
      </x:c>
      <x:c r="K957" s="38" t="str">
        <x:v>温暖的；暖和的</x:v>
      </x:c>
    </x:row>
    <x:row r="958" ht="20" customHeight="1">
      <x:c r="A958" s="39" t="str">
        <x:v>week</x:v>
      </x:c>
      <x:c r="B958" s="28" t="str">
        <x:v>/wiːk/</x:v>
      </x:c>
      <x:c r="C958" s="40" t="str">
        <x:v>星期；周</x:v>
      </x:c>
      <x:c r="D958" s="68"/>
      <x:c r="E958" s="39" t="str">
        <x:v>work</x:v>
      </x:c>
      <x:c r="F958" s="28" t="str">
        <x:v>/wɜːk/</x:v>
      </x:c>
      <x:c r="G958" s="40" t="str">
        <x:v>工作；职业</x:v>
      </x:c>
      <x:c r="H958" s="68"/>
      <x:c r="I958" s="39" t="str">
        <x:v>weak</x:v>
      </x:c>
      <x:c r="J958" s="28" t="str">
        <x:v>/wiːk/</x:v>
      </x:c>
      <x:c r="K958" s="40" t="str">
        <x:v>虚弱的；无力的</x:v>
      </x:c>
    </x:row>
    <x:row r="959" ht="20" customHeight="1">
      <x:c r="A959" s="37" t="str">
        <x:v>weekday</x:v>
      </x:c>
      <x:c r="B959" s="21" t="str">
        <x:v>/ˈwiːkdeɪ/</x:v>
      </x:c>
      <x:c r="C959" s="38" t="str">
        <x:v>工作日</x:v>
      </x:c>
      <x:c r="D959" s="68"/>
      <x:c r="E959" s="37" t="str">
        <x:v>worker</x:v>
      </x:c>
      <x:c r="F959" s="21" t="str">
        <x:v>/ˈwɜːkə/</x:v>
      </x:c>
      <x:c r="G959" s="38" t="str">
        <x:v>工人</x:v>
      </x:c>
      <x:c r="H959" s="68"/>
      <x:c r="I959" s="37" t="str">
        <x:v>well</x:v>
      </x:c>
      <x:c r="J959" s="21" t="str">
        <x:v>/wel/</x:v>
      </x:c>
      <x:c r="K959" s="38" t="str">
        <x:v>健康的；良好的</x:v>
      </x:c>
    </x:row>
    <x:row r="960" ht="20" customHeight="1">
      <x:c r="A960" s="39" t="str">
        <x:v>welcome</x:v>
      </x:c>
      <x:c r="B960" s="28" t="str">
        <x:v>/ˈwelkəm/</x:v>
      </x:c>
      <x:c r="C960" s="40" t="str">
        <x:v>欢迎</x:v>
      </x:c>
      <x:c r="D960" s="68"/>
      <x:c r="E960" s="39" t="str">
        <x:v>world</x:v>
      </x:c>
      <x:c r="F960" s="28" t="str">
        <x:v>/wɜːld/</x:v>
      </x:c>
      <x:c r="G960" s="40" t="str">
        <x:v>世界；世间</x:v>
      </x:c>
      <x:c r="H960" s="68"/>
      <x:c r="I960" s="39" t="str">
        <x:v>wet</x:v>
      </x:c>
      <x:c r="J960" s="28" t="str">
        <x:v>/wet/</x:v>
      </x:c>
      <x:c r="K960" s="40" t="str">
        <x:v>湿的；潮湿的</x:v>
      </x:c>
    </x:row>
    <x:row r="961" ht="20" customHeight="1">
      <x:c r="A961" s="37" t="str">
        <x:v>west</x:v>
      </x:c>
      <x:c r="B961" s="21" t="str">
        <x:v>/west/</x:v>
      </x:c>
      <x:c r="C961" s="38" t="str">
        <x:v>西方；西部</x:v>
      </x:c>
      <x:c r="D961" s="68"/>
      <x:c r="E961" s="37" t="str">
        <x:v>worry</x:v>
      </x:c>
      <x:c r="F961" s="21" t="str">
        <x:v>/ˈwʌri/</x:v>
      </x:c>
      <x:c r="G961" s="38" t="str">
        <x:v>担心；忧虑</x:v>
      </x:c>
      <x:c r="H961" s="68"/>
      <x:c r="I961" s="37" t="str">
        <x:v>western</x:v>
      </x:c>
      <x:c r="J961" s="21" t="str">
        <x:v>/ˈwestən/</x:v>
      </x:c>
      <x:c r="K961" s="38" t="str">
        <x:v>西方的；西部的</x:v>
      </x:c>
    </x:row>
    <x:row r="962" ht="20" customHeight="1">
      <x:c r="A962" s="39" t="str">
        <x:v>wet</x:v>
      </x:c>
      <x:c r="B962" s="28" t="str">
        <x:v>/wet/</x:v>
      </x:c>
      <x:c r="C962" s="40" t="str">
        <x:v>湿的东西（兼作形容词）</x:v>
      </x:c>
      <x:c r="D962" s="68"/>
      <x:c r="E962" s="39" t="str">
        <x:v>write</x:v>
      </x:c>
      <x:c r="F962" s="28" t="str">
        <x:v>/raɪt/</x:v>
      </x:c>
      <x:c r="G962" s="40" t="str">
        <x:v>写作；书写（动词）</x:v>
      </x:c>
      <x:c r="H962" s="68"/>
      <x:c r="I962" s="39" t="str">
        <x:v>white</x:v>
      </x:c>
      <x:c r="J962" s="28" t="str">
        <x:v>/waɪt/</x:v>
      </x:c>
      <x:c r="K962" s="40" t="str">
        <x:v>白色的</x:v>
      </x:c>
    </x:row>
    <x:row r="963" ht="20" customHeight="1">
      <x:c r="A963" s="37" t="str">
        <x:v>what</x:v>
      </x:c>
      <x:c r="B963" s="21" t="str">
        <x:v>/wɒt/</x:v>
      </x:c>
      <x:c r="C963" s="38" t="str">
        <x:v>什么（代词）</x:v>
      </x:c>
      <x:c r="D963" s="68"/>
      <x:c r="E963" s="37" t="str">
        <x:v>wrong</x:v>
      </x:c>
      <x:c r="F963" s="21" t="str">
        <x:v>/rɒŋ/</x:v>
      </x:c>
      <x:c r="G963" s="38" t="str">
        <x:v>错误；过失（兼作形容词）</x:v>
      </x:c>
      <x:c r="H963" s="68"/>
      <x:c r="I963" s="37" t="str">
        <x:v>wide</x:v>
      </x:c>
      <x:c r="J963" s="21" t="str">
        <x:v>/waɪd/</x:v>
      </x:c>
      <x:c r="K963" s="38" t="str">
        <x:v>宽的；宽阔的</x:v>
      </x:c>
    </x:row>
    <x:row r="964" ht="20" customHeight="1">
      <x:c r="A964" s="39" t="str">
        <x:v>when</x:v>
      </x:c>
      <x:c r="B964" s="28" t="str">
        <x:v>/wen/</x:v>
      </x:c>
      <x:c r="C964" s="40" t="str">
        <x:v>什么时候（副词/连词）</x:v>
      </x:c>
      <x:c r="D964" s="68"/>
      <x:c r="E964" s="73" t="str">
        <x:v>动词（15）</x:v>
      </x:c>
      <x:c r="F964" s="68"/>
      <x:c r="G964" s="74"/>
      <x:c r="H964" s="68"/>
      <x:c r="I964" s="39" t="str">
        <x:v>wild</x:v>
      </x:c>
      <x:c r="J964" s="28" t="str">
        <x:v>/waɪld/</x:v>
      </x:c>
      <x:c r="K964" s="40" t="str">
        <x:v>野生的；未开发的</x:v>
      </x:c>
    </x:row>
    <x:row r="965" ht="20" customHeight="1">
      <x:c r="A965" s="37" t="str">
        <x:v>where</x:v>
      </x:c>
      <x:c r="B965" s="21" t="str">
        <x:v>/weə/</x:v>
      </x:c>
      <x:c r="C965" s="38" t="str">
        <x:v>哪里（副词/连词）</x:v>
      </x:c>
      <x:c r="D965" s="68"/>
      <x:c r="E965" s="37" t="str">
        <x:v>wait</x:v>
      </x:c>
      <x:c r="F965" s="21" t="str">
        <x:v>/weɪt/</x:v>
      </x:c>
      <x:c r="G965" s="38" t="str">
        <x:v>等待；等候</x:v>
      </x:c>
      <x:c r="H965" s="68"/>
      <x:c r="I965" s="37" t="str">
        <x:v>windy</x:v>
      </x:c>
      <x:c r="J965" s="21" t="str">
        <x:v>/ˈwɪndi/</x:v>
      </x:c>
      <x:c r="K965" s="38" t="str">
        <x:v>多风的；刮风的</x:v>
      </x:c>
    </x:row>
    <x:row r="966" ht="20" customHeight="1">
      <x:c r="A966" s="39" t="str">
        <x:v>which</x:v>
      </x:c>
      <x:c r="B966" s="28" t="str">
        <x:v>/wɪtʃ/</x:v>
      </x:c>
      <x:c r="C966" s="40" t="str">
        <x:v>哪一个（代词）</x:v>
      </x:c>
      <x:c r="D966" s="68"/>
      <x:c r="E966" s="39" t="str">
        <x:v>walk</x:v>
      </x:c>
      <x:c r="F966" s="28" t="str">
        <x:v>/wɔːk/</x:v>
      </x:c>
      <x:c r="G966" s="40" t="str">
        <x:v>步行；散步</x:v>
      </x:c>
      <x:c r="H966" s="68"/>
      <x:c r="I966" s="39" t="str">
        <x:v>wise</x:v>
      </x:c>
      <x:c r="J966" s="28" t="str">
        <x:v>/waɪz/</x:v>
      </x:c>
      <x:c r="K966" s="40" t="str">
        <x:v>明智的；聪明的</x:v>
      </x:c>
    </x:row>
    <x:row r="967" ht="20" customHeight="1">
      <x:c r="A967" s="37" t="str">
        <x:v>white</x:v>
      </x:c>
      <x:c r="B967" s="21" t="str">
        <x:v>/waɪt/</x:v>
      </x:c>
      <x:c r="C967" s="38" t="str">
        <x:v>白色；白色的东西（兼作形容词）</x:v>
      </x:c>
      <x:c r="D967" s="68"/>
      <x:c r="E967" s="37" t="str">
        <x:v>want</x:v>
      </x:c>
      <x:c r="F967" s="21" t="str">
        <x:v>/wɒnt/</x:v>
      </x:c>
      <x:c r="G967" s="38" t="str">
        <x:v>想要；需要</x:v>
      </x:c>
      <x:c r="H967" s="68"/>
      <x:c r="I967" s="37" t="str">
        <x:v>wonderful</x:v>
      </x:c>
      <x:c r="J967" s="21" t="str">
        <x:v>/ˈwʌndəfl/</x:v>
      </x:c>
      <x:c r="K967" s="38" t="str">
        <x:v>极好的；精彩的</x:v>
      </x:c>
    </x:row>
    <x:row r="968" ht="20" customHeight="1">
      <x:c r="A968" s="39" t="str">
        <x:v>who</x:v>
      </x:c>
      <x:c r="B968" s="28" t="str">
        <x:v>/huː/</x:v>
      </x:c>
      <x:c r="C968" s="40" t="str">
        <x:v>谁（代词）</x:v>
      </x:c>
      <x:c r="D968" s="68"/>
      <x:c r="E968" s="39" t="str">
        <x:v>wash</x:v>
      </x:c>
      <x:c r="F968" s="28" t="str">
        <x:v>/wɒʃ/</x:v>
      </x:c>
      <x:c r="G968" s="40" t="str">
        <x:v>洗；洗涤</x:v>
      </x:c>
      <x:c r="H968" s="68"/>
      <x:c r="I968" s="39" t="str">
        <x:v>wrong</x:v>
      </x:c>
      <x:c r="J968" s="28" t="str">
        <x:v>/rɒŋ/</x:v>
      </x:c>
      <x:c r="K968" s="40" t="str">
        <x:v>错误的；不对的</x:v>
      </x:c>
    </x:row>
    <x:row r="969" ht="17" customHeight="1">
      <x:c r="A969" s="37" t="str">
        <x:v>whose</x:v>
      </x:c>
      <x:c r="B969" s="21" t="str">
        <x:v>/huːz/</x:v>
      </x:c>
      <x:c r="C969" s="38" t="str">
        <x:v>谁的（代词）</x:v>
      </x:c>
      <x:c r="D969" s="68"/>
      <x:c r="E969" s="37" t="str">
        <x:v>watch</x:v>
      </x:c>
      <x:c r="F969" s="21" t="str">
        <x:v>/wɒtʃ/</x:v>
      </x:c>
      <x:c r="G969" s="38" t="str">
        <x:v>观看；注视</x:v>
      </x:c>
      <x:c r="H969" s="68"/>
      <x:c r="I969" s="73" t="str">
        <x:v>副词（2）</x:v>
      </x:c>
      <x:c r="J969" s="68"/>
      <x:c r="K969" s="74"/>
    </x:row>
    <x:row r="970" ht="20" customHeight="1">
      <x:c r="A970" s="39" t="str">
        <x:v>why</x:v>
      </x:c>
      <x:c r="B970" s="28" t="str">
        <x:v>/waɪ/</x:v>
      </x:c>
      <x:c r="C970" s="40" t="str">
        <x:v>为什么（副词/连词）</x:v>
      </x:c>
      <x:c r="D970" s="68"/>
      <x:c r="E970" s="39" t="str">
        <x:v>water</x:v>
      </x:c>
      <x:c r="F970" s="28" t="str">
        <x:v>/ˈwɔːtə/</x:v>
      </x:c>
      <x:c r="G970" s="40" t="str">
        <x:v>浇水；给……浇水</x:v>
      </x:c>
      <x:c r="H970" s="68"/>
      <x:c r="I970" s="39" t="str">
        <x:v>well</x:v>
      </x:c>
      <x:c r="J970" s="28" t="str">
        <x:v>/wel/</x:v>
      </x:c>
      <x:c r="K970" s="40" t="str">
        <x:v>好；令人满意地</x:v>
      </x:c>
    </x:row>
    <x:row r="971" ht="20" customHeight="1">
      <x:c r="A971" s="41" t="str">
        <x:v>wide</x:v>
      </x:c>
      <x:c r="B971" s="42" t="str">
        <x:v>/waɪd/</x:v>
      </x:c>
      <x:c r="C971" s="43" t="str">
        <x:v>宽的东西（兼作形容词）</x:v>
      </x:c>
      <x:c r="D971" s="68"/>
      <x:c r="E971" s="41" t="str">
        <x:v>wave</x:v>
      </x:c>
      <x:c r="F971" s="42" t="str">
        <x:v>/weɪv/</x:v>
      </x:c>
      <x:c r="G971" s="43" t="str">
        <x:v>挥手；摆动</x:v>
      </x:c>
      <x:c r="H971" s="68"/>
      <x:c r="I971" s="41" t="str">
        <x:v>west</x:v>
      </x:c>
      <x:c r="J971" s="42" t="str">
        <x:v>/west/</x:v>
      </x:c>
      <x:c r="K971" s="43" t="str">
        <x:v>向西；朝西</x:v>
      </x:c>
    </x:row>
    <x:row r="972">
      <x:c r="A972" s="68"/>
      <x:c r="B972" s="68"/>
      <x:c r="C972" s="68"/>
      <x:c r="D972" s="68"/>
      <x:c r="E972" s="68"/>
      <x:c r="F972" s="68"/>
      <x:c r="G972" s="68"/>
      <x:c r="H972" s="68"/>
      <x:c r="I972" s="68"/>
      <x:c r="J972" s="68"/>
      <x:c r="K972" s="68"/>
    </x:row>
    <x:row r="973" ht="27" customHeight="1">
      <x:c r="A973" s="65" t="str">
        <x:v>W 开头单词（2/2）</x:v>
      </x:c>
      <x:c r="B973" s="66"/>
      <x:c r="C973" s="67"/>
      <x:c r="D973" s="68"/>
      <x:c r="E973" s="69"/>
      <x:c r="F973" s="66"/>
      <x:c r="G973" s="67"/>
      <x:c r="H973" s="68"/>
      <x:c r="I973" s="69"/>
      <x:c r="J973" s="66"/>
      <x:c r="K973" s="67"/>
    </x:row>
    <x:row r="974" ht="19" customHeight="1">
      <x:c r="A974" s="70" t="str">
        <x:v>英文单词 / 短语</x:v>
      </x:c>
      <x:c r="B974" s="71" t="str">
        <x:v>音标</x:v>
      </x:c>
      <x:c r="C974" s="72" t="str">
        <x:v>中文解释</x:v>
      </x:c>
      <x:c r="D974" s="68"/>
      <x:c r="E974" s="70" t="str">
        <x:v>英文单词 / 短语</x:v>
      </x:c>
      <x:c r="F974" s="71" t="str">
        <x:v>音标</x:v>
      </x:c>
      <x:c r="G974" s="72" t="str">
        <x:v>中文解释</x:v>
      </x:c>
      <x:c r="H974" s="68"/>
      <x:c r="I974" s="70" t="str">
        <x:v>英文单词 / 短语</x:v>
      </x:c>
      <x:c r="J974" s="71" t="str">
        <x:v>音标</x:v>
      </x:c>
      <x:c r="K974" s="72" t="str">
        <x:v>中文解释</x:v>
      </x:c>
    </x:row>
    <x:row r="975" ht="20" customHeight="1">
      <x:c r="A975" s="73" t="str">
        <x:v>介词（2）</x:v>
      </x:c>
      <x:c r="B975" s="68"/>
      <x:c r="C975" s="74"/>
      <x:c r="D975" s="68"/>
      <x:c r="E975" s="39" t="str">
        <x:v>wash</x:v>
      </x:c>
      <x:c r="F975" s="28" t="str"/>
      <x:c r="G975" s="40" t="str">
        <x:v>up 洗餐具；洗手洗脸</x:v>
      </x:c>
      <x:c r="H975" s="68"/>
      <x:c r="I975" s="75"/>
      <x:c r="J975" s="68"/>
      <x:c r="K975" s="74"/>
    </x:row>
    <x:row r="976" ht="20" customHeight="1">
      <x:c r="A976" s="37" t="str">
        <x:v>with</x:v>
      </x:c>
      <x:c r="B976" s="21" t="str">
        <x:v>/wɪð/</x:v>
      </x:c>
      <x:c r="C976" s="38" t="str">
        <x:v>和……一起；带有；使用</x:v>
      </x:c>
      <x:c r="D976" s="68"/>
      <x:c r="E976" s="37" t="str">
        <x:v>watch</x:v>
      </x:c>
      <x:c r="F976" s="21" t="str"/>
      <x:c r="G976" s="38" t="str">
        <x:v>TV 看电视</x:v>
      </x:c>
      <x:c r="H976" s="68"/>
      <x:c r="I976" s="75"/>
      <x:c r="J976" s="68"/>
      <x:c r="K976" s="74"/>
    </x:row>
    <x:row r="977" ht="20" customHeight="1">
      <x:c r="A977" s="39" t="str">
        <x:v>without</x:v>
      </x:c>
      <x:c r="B977" s="28" t="str">
        <x:v>/wɪˈðaʊt/</x:v>
      </x:c>
      <x:c r="C977" s="40" t="str">
        <x:v>没有；缺乏</x:v>
      </x:c>
      <x:c r="D977" s="68"/>
      <x:c r="E977" s="39" t="str">
        <x:v>wave</x:v>
      </x:c>
      <x:c r="F977" s="28" t="str"/>
      <x:c r="G977" s="40" t="str">
        <x:v>goodbye to 向……挥手告别</x:v>
      </x:c>
      <x:c r="H977" s="68"/>
      <x:c r="I977" s="75"/>
      <x:c r="J977" s="68"/>
      <x:c r="K977" s="74"/>
    </x:row>
    <x:row r="978" ht="20" customHeight="1">
      <x:c r="A978" s="73" t="str">
        <x:v>连词（5）</x:v>
      </x:c>
      <x:c r="B978" s="68"/>
      <x:c r="C978" s="74"/>
      <x:c r="D978" s="68"/>
      <x:c r="E978" s="37" t="str">
        <x:v>wear</x:v>
      </x:c>
      <x:c r="F978" s="21" t="str"/>
      <x:c r="G978" s="38" t="str">
        <x:v>out 穿破；用坏</x:v>
      </x:c>
      <x:c r="H978" s="68"/>
      <x:c r="I978" s="75"/>
      <x:c r="J978" s="68"/>
      <x:c r="K978" s="74"/>
    </x:row>
    <x:row r="979" ht="20" customHeight="1">
      <x:c r="A979" s="39" t="str">
        <x:v>when</x:v>
      </x:c>
      <x:c r="B979" s="28" t="str">
        <x:v>/wen/</x:v>
      </x:c>
      <x:c r="C979" s="40" t="str">
        <x:v>当……的时候</x:v>
      </x:c>
      <x:c r="D979" s="68"/>
      <x:c r="E979" s="39" t="str">
        <x:v>welcome</x:v>
      </x:c>
      <x:c r="F979" s="28" t="str"/>
      <x:c r="G979" s="40" t="str">
        <x:v>to… 欢迎来到……</x:v>
      </x:c>
      <x:c r="H979" s="68"/>
      <x:c r="I979" s="75"/>
      <x:c r="J979" s="68"/>
      <x:c r="K979" s="74"/>
    </x:row>
    <x:row r="980" ht="20" customHeight="1">
      <x:c r="A980" s="37" t="str">
        <x:v>where</x:v>
      </x:c>
      <x:c r="B980" s="21" t="str">
        <x:v>/weə/</x:v>
      </x:c>
      <x:c r="C980" s="38" t="str">
        <x:v>在……地方</x:v>
      </x:c>
      <x:c r="D980" s="68"/>
      <x:c r="E980" s="37" t="str">
        <x:v>well</x:v>
      </x:c>
      <x:c r="F980" s="21" t="str"/>
      <x:c r="G980" s="38" t="str">
        <x:v>done 做得好</x:v>
      </x:c>
      <x:c r="H980" s="68"/>
      <x:c r="I980" s="75"/>
      <x:c r="J980" s="68"/>
      <x:c r="K980" s="74"/>
    </x:row>
    <x:row r="981" ht="20" customHeight="1">
      <x:c r="A981" s="39" t="str">
        <x:v>whether</x:v>
      </x:c>
      <x:c r="B981" s="28" t="str">
        <x:v>/ˈweðə/</x:v>
      </x:c>
      <x:c r="C981" s="40" t="str">
        <x:v>是否</x:v>
      </x:c>
      <x:c r="D981" s="68"/>
      <x:c r="E981" s="39" t="str">
        <x:v>what</x:v>
      </x:c>
      <x:c r="F981" s="28" t="str"/>
      <x:c r="G981" s="40" t="str">
        <x:v>about…? ……怎么样？</x:v>
      </x:c>
      <x:c r="H981" s="68"/>
      <x:c r="I981" s="75"/>
      <x:c r="J981" s="68"/>
      <x:c r="K981" s="74"/>
    </x:row>
    <x:row r="982" ht="20" customHeight="1">
      <x:c r="A982" s="37" t="str">
        <x:v>while</x:v>
      </x:c>
      <x:c r="B982" s="21" t="str">
        <x:v>/waɪl/</x:v>
      </x:c>
      <x:c r="C982" s="38" t="str">
        <x:v>当……的时候；然而</x:v>
      </x:c>
      <x:c r="D982" s="68"/>
      <x:c r="E982" s="37" t="str">
        <x:v>what's</x:v>
      </x:c>
      <x:c r="F982" s="21" t="str"/>
      <x:c r="G982" s="38" t="str">
        <x:v>wrong with…? ……怎么了？</x:v>
      </x:c>
      <x:c r="H982" s="68"/>
      <x:c r="I982" s="75"/>
      <x:c r="J982" s="68"/>
      <x:c r="K982" s="74"/>
    </x:row>
    <x:row r="983" ht="20" customHeight="1">
      <x:c r="A983" s="39" t="str">
        <x:v>why</x:v>
      </x:c>
      <x:c r="B983" s="28" t="str">
        <x:v>/waɪ/</x:v>
      </x:c>
      <x:c r="C983" s="40" t="str">
        <x:v>为什么</x:v>
      </x:c>
      <x:c r="D983" s="68"/>
      <x:c r="E983" s="39" t="str">
        <x:v>win</x:v>
      </x:c>
      <x:c r="F983" s="28" t="str"/>
      <x:c r="G983" s="40" t="str">
        <x:v>the game 赢得比赛</x:v>
      </x:c>
      <x:c r="H983" s="68"/>
      <x:c r="I983" s="75"/>
      <x:c r="J983" s="68"/>
      <x:c r="K983" s="74"/>
    </x:row>
    <x:row r="984" ht="20" customHeight="1">
      <x:c r="A984" s="73" t="str">
        <x:v>代词（10）</x:v>
      </x:c>
      <x:c r="B984" s="68"/>
      <x:c r="C984" s="74"/>
      <x:c r="D984" s="68"/>
      <x:c r="E984" s="37" t="str">
        <x:v>with</x:v>
      </x:c>
      <x:c r="F984" s="21" t="str"/>
      <x:c r="G984" s="38" t="str">
        <x:v>the help of 在……的帮助下</x:v>
      </x:c>
      <x:c r="H984" s="68"/>
      <x:c r="I984" s="75"/>
      <x:c r="J984" s="68"/>
      <x:c r="K984" s="74"/>
    </x:row>
    <x:row r="985" ht="20" customHeight="1">
      <x:c r="A985" s="39" t="str">
        <x:v>we</x:v>
      </x:c>
      <x:c r="B985" s="28" t="str">
        <x:v>/wiː/</x:v>
      </x:c>
      <x:c r="C985" s="40" t="str">
        <x:v>我们</x:v>
      </x:c>
      <x:c r="D985" s="68"/>
      <x:c r="E985" s="39" t="str">
        <x:v>work</x:v>
      </x:c>
      <x:c r="F985" s="28" t="str"/>
      <x:c r="G985" s="40" t="str">
        <x:v>hard 努力工作；努力学习</x:v>
      </x:c>
      <x:c r="H985" s="68"/>
      <x:c r="I985" s="75"/>
      <x:c r="J985" s="68"/>
      <x:c r="K985" s="74"/>
    </x:row>
    <x:row r="986" ht="20" customHeight="1">
      <x:c r="A986" s="37" t="str">
        <x:v>us</x:v>
      </x:c>
      <x:c r="B986" s="21" t="str">
        <x:v>/ʌs/</x:v>
      </x:c>
      <x:c r="C986" s="38" t="str">
        <x:v>我们（宾格）</x:v>
      </x:c>
      <x:c r="D986" s="68"/>
      <x:c r="E986" s="37" t="str">
        <x:v>worry</x:v>
      </x:c>
      <x:c r="F986" s="21" t="str"/>
      <x:c r="G986" s="38" t="str">
        <x:v>about 担心；忧虑</x:v>
      </x:c>
      <x:c r="H986" s="68"/>
      <x:c r="I986" s="75"/>
      <x:c r="J986" s="68"/>
      <x:c r="K986" s="74"/>
    </x:row>
    <x:row r="987" ht="20" customHeight="1">
      <x:c r="A987" s="39" t="str">
        <x:v>our</x:v>
      </x:c>
      <x:c r="B987" s="28" t="str">
        <x:v>/ˈaʊə/</x:v>
      </x:c>
      <x:c r="C987" s="40" t="str">
        <x:v>我们的（形容词性物主代词）</x:v>
      </x:c>
      <x:c r="D987" s="68"/>
      <x:c r="E987" s="39" t="str">
        <x:v>write</x:v>
      </x:c>
      <x:c r="F987" s="28" t="str"/>
      <x:c r="G987" s="40" t="str">
        <x:v>down 写下；记下</x:v>
      </x:c>
      <x:c r="H987" s="68"/>
      <x:c r="I987" s="75"/>
      <x:c r="J987" s="68"/>
      <x:c r="K987" s="74"/>
    </x:row>
    <x:row r="988" ht="20" customHeight="1">
      <x:c r="A988" s="37" t="str">
        <x:v>ours</x:v>
      </x:c>
      <x:c r="B988" s="21" t="str">
        <x:v>/ˈaʊəz/</x:v>
      </x:c>
      <x:c r="C988" s="38" t="str">
        <x:v>我们的（名词性物主代词）</x:v>
      </x:c>
      <x:c r="D988" s="68"/>
      <x:c r="E988" s="37" t="str">
        <x:v>write</x:v>
      </x:c>
      <x:c r="F988" s="21" t="str"/>
      <x:c r="G988" s="38" t="str">
        <x:v>to sb. 给某人写信</x:v>
      </x:c>
      <x:c r="H988" s="68"/>
      <x:c r="I988" s="75"/>
      <x:c r="J988" s="68"/>
      <x:c r="K988" s="74"/>
    </x:row>
    <x:row r="989" ht="20" customHeight="1">
      <x:c r="A989" s="39" t="str">
        <x:v>ourselves</x:v>
      </x:c>
      <x:c r="B989" s="28" t="str">
        <x:v>/ˌaʊəˈselvz/</x:v>
      </x:c>
      <x:c r="C989" s="40" t="str">
        <x:v>我们自己</x:v>
      </x:c>
      <x:c r="D989" s="68"/>
      <x:c r="E989" s="75"/>
      <x:c r="F989" s="68"/>
      <x:c r="G989" s="74"/>
      <x:c r="H989" s="68"/>
      <x:c r="I989" s="75"/>
      <x:c r="J989" s="68"/>
      <x:c r="K989" s="74"/>
    </x:row>
    <x:row r="990" ht="20" customHeight="1">
      <x:c r="A990" s="37" t="str">
        <x:v>what</x:v>
      </x:c>
      <x:c r="B990" s="21" t="str">
        <x:v>/wɒt/</x:v>
      </x:c>
      <x:c r="C990" s="38" t="str">
        <x:v>什么</x:v>
      </x:c>
      <x:c r="D990" s="68"/>
      <x:c r="E990" s="75"/>
      <x:c r="F990" s="68"/>
      <x:c r="G990" s="74"/>
      <x:c r="H990" s="68"/>
      <x:c r="I990" s="75"/>
      <x:c r="J990" s="68"/>
      <x:c r="K990" s="74"/>
    </x:row>
    <x:row r="991" ht="20" customHeight="1">
      <x:c r="A991" s="39" t="str">
        <x:v>which</x:v>
      </x:c>
      <x:c r="B991" s="28" t="str">
        <x:v>/wɪtʃ/</x:v>
      </x:c>
      <x:c r="C991" s="40" t="str">
        <x:v>哪一个</x:v>
      </x:c>
      <x:c r="D991" s="68"/>
      <x:c r="E991" s="75"/>
      <x:c r="F991" s="68"/>
      <x:c r="G991" s="74"/>
      <x:c r="H991" s="68"/>
      <x:c r="I991" s="75"/>
      <x:c r="J991" s="68"/>
      <x:c r="K991" s="74"/>
    </x:row>
    <x:row r="992" ht="20" customHeight="1">
      <x:c r="A992" s="37" t="str">
        <x:v>who</x:v>
      </x:c>
      <x:c r="B992" s="21" t="str">
        <x:v>/huː/</x:v>
      </x:c>
      <x:c r="C992" s="38" t="str">
        <x:v>谁</x:v>
      </x:c>
      <x:c r="D992" s="68"/>
      <x:c r="E992" s="75"/>
      <x:c r="F992" s="68"/>
      <x:c r="G992" s="74"/>
      <x:c r="H992" s="68"/>
      <x:c r="I992" s="75"/>
      <x:c r="J992" s="68"/>
      <x:c r="K992" s="74"/>
    </x:row>
    <x:row r="993" ht="20" customHeight="1">
      <x:c r="A993" s="39" t="str">
        <x:v>whom</x:v>
      </x:c>
      <x:c r="B993" s="28" t="str">
        <x:v>/huːm/</x:v>
      </x:c>
      <x:c r="C993" s="40" t="str">
        <x:v>谁（宾格）</x:v>
      </x:c>
      <x:c r="D993" s="68"/>
      <x:c r="E993" s="75"/>
      <x:c r="F993" s="68"/>
      <x:c r="G993" s="74"/>
      <x:c r="H993" s="68"/>
      <x:c r="I993" s="75"/>
      <x:c r="J993" s="68"/>
      <x:c r="K993" s="74"/>
    </x:row>
    <x:row r="994" ht="20" customHeight="1">
      <x:c r="A994" s="37" t="str">
        <x:v>whose</x:v>
      </x:c>
      <x:c r="B994" s="21" t="str">
        <x:v>/huːz/</x:v>
      </x:c>
      <x:c r="C994" s="38" t="str">
        <x:v>谁的</x:v>
      </x:c>
      <x:c r="D994" s="68"/>
      <x:c r="E994" s="75"/>
      <x:c r="F994" s="68"/>
      <x:c r="G994" s="74"/>
      <x:c r="H994" s="68"/>
      <x:c r="I994" s="75"/>
      <x:c r="J994" s="68"/>
      <x:c r="K994" s="74"/>
    </x:row>
    <x:row r="995" ht="17" customHeight="1">
      <x:c r="A995" s="73" t="str">
        <x:v>短语（17）</x:v>
      </x:c>
      <x:c r="B995" s="68"/>
      <x:c r="C995" s="74"/>
      <x:c r="D995" s="68"/>
      <x:c r="E995" s="75"/>
      <x:c r="F995" s="68"/>
      <x:c r="G995" s="74"/>
      <x:c r="H995" s="68"/>
      <x:c r="I995" s="75"/>
      <x:c r="J995" s="68"/>
      <x:c r="K995" s="74"/>
    </x:row>
    <x:row r="996" ht="20" customHeight="1">
      <x:c r="A996" s="37" t="str">
        <x:v>wait</x:v>
      </x:c>
      <x:c r="B996" s="21" t="str"/>
      <x:c r="C996" s="38" t="str">
        <x:v>for 等待；等候</x:v>
      </x:c>
      <x:c r="D996" s="68"/>
      <x:c r="E996" s="75"/>
      <x:c r="F996" s="68"/>
      <x:c r="G996" s="74"/>
      <x:c r="H996" s="68"/>
      <x:c r="I996" s="75"/>
      <x:c r="J996" s="68"/>
      <x:c r="K996" s="74"/>
    </x:row>
    <x:row r="997" ht="20" customHeight="1">
      <x:c r="A997" s="39" t="str">
        <x:v>walk</x:v>
      </x:c>
      <x:c r="B997" s="28" t="str"/>
      <x:c r="C997" s="40" t="str">
        <x:v>away 走开；离开</x:v>
      </x:c>
      <x:c r="D997" s="68"/>
      <x:c r="E997" s="75"/>
      <x:c r="F997" s="68"/>
      <x:c r="G997" s="74"/>
      <x:c r="H997" s="68"/>
      <x:c r="I997" s="75"/>
      <x:c r="J997" s="68"/>
      <x:c r="K997" s="74"/>
    </x:row>
    <x:row r="998" ht="20" customHeight="1">
      <x:c r="A998" s="41" t="str">
        <x:v>want</x:v>
      </x:c>
      <x:c r="B998" s="42" t="str"/>
      <x:c r="C998" s="43" t="str">
        <x:v>to do sth. 想要做某事</x:v>
      </x:c>
      <x:c r="D998" s="68"/>
      <x:c r="E998" s="76"/>
      <x:c r="F998" s="77"/>
      <x:c r="G998" s="78"/>
      <x:c r="H998" s="68"/>
      <x:c r="I998" s="76"/>
      <x:c r="J998" s="77"/>
      <x:c r="K998" s="78"/>
    </x:row>
    <x:row r="999">
      <x:c r="A999" s="68"/>
      <x:c r="B999" s="68"/>
      <x:c r="C999" s="68"/>
      <x:c r="D999" s="68"/>
      <x:c r="E999" s="68"/>
      <x:c r="F999" s="68"/>
      <x:c r="G999" s="68"/>
      <x:c r="H999" s="68"/>
      <x:c r="I999" s="68"/>
      <x:c r="J999" s="68"/>
      <x:c r="K999" s="68"/>
    </x:row>
    <x:row r="1000" ht="27" customHeight="1">
      <x:c r="A1000" s="65" t="str">
        <x:v>Y 开头单词</x:v>
      </x:c>
      <x:c r="B1000" s="66"/>
      <x:c r="C1000" s="67"/>
      <x:c r="D1000" s="68"/>
      <x:c r="E1000" s="69"/>
      <x:c r="F1000" s="66"/>
      <x:c r="G1000" s="67"/>
      <x:c r="H1000" s="68"/>
      <x:c r="I1000" s="69"/>
      <x:c r="J1000" s="66"/>
      <x:c r="K1000" s="67"/>
    </x:row>
    <x:row r="1001" ht="19" customHeight="1">
      <x:c r="A1001" s="70" t="str">
        <x:v>英文单词 / 短语</x:v>
      </x:c>
      <x:c r="B1001" s="71" t="str">
        <x:v>音标</x:v>
      </x:c>
      <x:c r="C1001" s="72" t="str">
        <x:v>中文解释</x:v>
      </x:c>
      <x:c r="D1001" s="68"/>
      <x:c r="E1001" s="70" t="str">
        <x:v>英文单词 / 短语</x:v>
      </x:c>
      <x:c r="F1001" s="71" t="str">
        <x:v>音标</x:v>
      </x:c>
      <x:c r="G1001" s="72" t="str">
        <x:v>中文解释</x:v>
      </x:c>
      <x:c r="H1001" s="68"/>
      <x:c r="I1001" s="70" t="str">
        <x:v>英文单词 / 短语</x:v>
      </x:c>
      <x:c r="J1001" s="71" t="str">
        <x:v>音标</x:v>
      </x:c>
      <x:c r="K1001" s="72" t="str">
        <x:v>中文解释</x:v>
      </x:c>
    </x:row>
    <x:row r="1002" ht="20" customHeight="1">
      <x:c r="A1002" s="73" t="str">
        <x:v>名词（8）</x:v>
      </x:c>
      <x:c r="B1002" s="68"/>
      <x:c r="C1002" s="74"/>
      <x:c r="D1002" s="68"/>
      <x:c r="E1002" s="39" t="str">
        <x:v>year</x:v>
      </x:c>
      <x:c r="F1002" s="28" t="str"/>
      <x:c r="G1002" s="40" t="str">
        <x:v>after year 年复一年</x:v>
      </x:c>
      <x:c r="H1002" s="68"/>
      <x:c r="I1002" s="75"/>
      <x:c r="J1002" s="68"/>
      <x:c r="K1002" s="74"/>
    </x:row>
    <x:row r="1003" ht="20" customHeight="1">
      <x:c r="A1003" s="37" t="str">
        <x:v>year</x:v>
      </x:c>
      <x:c r="B1003" s="21" t="str">
        <x:v>/jɪə/</x:v>
      </x:c>
      <x:c r="C1003" s="38" t="str">
        <x:v>年；年份</x:v>
      </x:c>
      <x:c r="D1003" s="68"/>
      <x:c r="E1003" s="37" t="str">
        <x:v>yet</x:v>
      </x:c>
      <x:c r="F1003" s="21" t="str"/>
      <x:c r="G1003" s="38" t="str">
        <x:v>to come 尚未发生；即将来临</x:v>
      </x:c>
      <x:c r="H1003" s="68"/>
      <x:c r="I1003" s="75"/>
      <x:c r="J1003" s="68"/>
      <x:c r="K1003" s="74"/>
    </x:row>
    <x:row r="1004" ht="20" customHeight="1">
      <x:c r="A1004" s="39" t="str">
        <x:v>yellow</x:v>
      </x:c>
      <x:c r="B1004" s="28" t="str">
        <x:v>/ˈjeləʊ/</x:v>
      </x:c>
      <x:c r="C1004" s="40" t="str">
        <x:v>黄色；黄色的东西（兼作形容词）</x:v>
      </x:c>
      <x:c r="D1004" s="68"/>
      <x:c r="E1004" s="39" t="str">
        <x:v>young</x:v>
      </x:c>
      <x:c r="F1004" s="28" t="str"/>
      <x:c r="G1004" s="40" t="str">
        <x:v>people 年轻人</x:v>
      </x:c>
      <x:c r="H1004" s="68"/>
      <x:c r="I1004" s="75"/>
      <x:c r="J1004" s="68"/>
      <x:c r="K1004" s="74"/>
    </x:row>
    <x:row r="1005" ht="20" customHeight="1">
      <x:c r="A1005" s="37" t="str">
        <x:v>yesterday</x:v>
      </x:c>
      <x:c r="B1005" s="21" t="str">
        <x:v>/ˈjestədeɪ/</x:v>
      </x:c>
      <x:c r="C1005" s="38" t="str">
        <x:v>昨天</x:v>
      </x:c>
      <x:c r="D1005" s="68"/>
      <x:c r="E1005" s="37" t="str">
        <x:v>your</x:v>
      </x:c>
      <x:c r="F1005" s="21" t="str"/>
      <x:c r="G1005" s="38" t="str">
        <x:v>turn 轮到你了</x:v>
      </x:c>
      <x:c r="H1005" s="68"/>
      <x:c r="I1005" s="75"/>
      <x:c r="J1005" s="68"/>
      <x:c r="K1005" s="74"/>
    </x:row>
    <x:row r="1006" ht="20" customHeight="1">
      <x:c r="A1006" s="39" t="str">
        <x:v>you</x:v>
      </x:c>
      <x:c r="B1006" s="28" t="str">
        <x:v>/juː/</x:v>
      </x:c>
      <x:c r="C1006" s="40" t="str">
        <x:v>你；你们（代词）</x:v>
      </x:c>
      <x:c r="D1006" s="68"/>
      <x:c r="E1006" s="75"/>
      <x:c r="F1006" s="68"/>
      <x:c r="G1006" s="74"/>
      <x:c r="H1006" s="68"/>
      <x:c r="I1006" s="75"/>
      <x:c r="J1006" s="68"/>
      <x:c r="K1006" s="74"/>
    </x:row>
    <x:row r="1007" ht="20" customHeight="1">
      <x:c r="A1007" s="37" t="str">
        <x:v>your</x:v>
      </x:c>
      <x:c r="B1007" s="21" t="str">
        <x:v>/jɔː/</x:v>
      </x:c>
      <x:c r="C1007" s="38" t="str">
        <x:v>你的；你们的（形容词性物主代词）</x:v>
      </x:c>
      <x:c r="D1007" s="68"/>
      <x:c r="E1007" s="75"/>
      <x:c r="F1007" s="68"/>
      <x:c r="G1007" s="74"/>
      <x:c r="H1007" s="68"/>
      <x:c r="I1007" s="75"/>
      <x:c r="J1007" s="68"/>
      <x:c r="K1007" s="74"/>
    </x:row>
    <x:row r="1008" ht="20" customHeight="1">
      <x:c r="A1008" s="39" t="str">
        <x:v>yours</x:v>
      </x:c>
      <x:c r="B1008" s="28" t="str">
        <x:v>/jɔːz/</x:v>
      </x:c>
      <x:c r="C1008" s="40" t="str">
        <x:v>你的；你们的（名词性物主代词）</x:v>
      </x:c>
      <x:c r="D1008" s="68"/>
      <x:c r="E1008" s="75"/>
      <x:c r="F1008" s="68"/>
      <x:c r="G1008" s="74"/>
      <x:c r="H1008" s="68"/>
      <x:c r="I1008" s="75"/>
      <x:c r="J1008" s="68"/>
      <x:c r="K1008" s="74"/>
    </x:row>
    <x:row r="1009" ht="20" customHeight="1">
      <x:c r="A1009" s="37" t="str">
        <x:v>yourself</x:v>
      </x:c>
      <x:c r="B1009" s="21" t="str">
        <x:v>/jɔːˈself/</x:v>
      </x:c>
      <x:c r="C1009" s="38" t="str">
        <x:v>你自己；你们自己</x:v>
      </x:c>
      <x:c r="D1009" s="68"/>
      <x:c r="E1009" s="75"/>
      <x:c r="F1009" s="68"/>
      <x:c r="G1009" s="74"/>
      <x:c r="H1009" s="68"/>
      <x:c r="I1009" s="75"/>
      <x:c r="J1009" s="68"/>
      <x:c r="K1009" s="74"/>
    </x:row>
    <x:row r="1010" ht="20" customHeight="1">
      <x:c r="A1010" s="39" t="str">
        <x:v>youth</x:v>
      </x:c>
      <x:c r="B1010" s="28" t="str">
        <x:v>/juːθ/</x:v>
      </x:c>
      <x:c r="C1010" s="40" t="str">
        <x:v>青春；年轻（补充高频词）</x:v>
      </x:c>
      <x:c r="D1010" s="68"/>
      <x:c r="E1010" s="75"/>
      <x:c r="F1010" s="68"/>
      <x:c r="G1010" s="74"/>
      <x:c r="H1010" s="68"/>
      <x:c r="I1010" s="75"/>
      <x:c r="J1010" s="68"/>
      <x:c r="K1010" s="74"/>
    </x:row>
    <x:row r="1011" ht="17" customHeight="1">
      <x:c r="A1011" s="73" t="str">
        <x:v>动词（2）</x:v>
      </x:c>
      <x:c r="B1011" s="68"/>
      <x:c r="C1011" s="74"/>
      <x:c r="D1011" s="68"/>
      <x:c r="E1011" s="75"/>
      <x:c r="F1011" s="68"/>
      <x:c r="G1011" s="74"/>
      <x:c r="H1011" s="68"/>
      <x:c r="I1011" s="75"/>
      <x:c r="J1011" s="68"/>
      <x:c r="K1011" s="74"/>
    </x:row>
    <x:row r="1012" ht="20" customHeight="1">
      <x:c r="A1012" s="39" t="str">
        <x:v>yawn</x:v>
      </x:c>
      <x:c r="B1012" s="28" t="str">
        <x:v>/jɔːn/</x:v>
      </x:c>
      <x:c r="C1012" s="40" t="str">
        <x:v>打哈欠（补充高频词）</x:v>
      </x:c>
      <x:c r="D1012" s="68"/>
      <x:c r="E1012" s="75"/>
      <x:c r="F1012" s="68"/>
      <x:c r="G1012" s="74"/>
      <x:c r="H1012" s="68"/>
      <x:c r="I1012" s="75"/>
      <x:c r="J1012" s="68"/>
      <x:c r="K1012" s="74"/>
    </x:row>
    <x:row r="1013" ht="20" customHeight="1">
      <x:c r="A1013" s="37" t="str">
        <x:v>yell</x:v>
      </x:c>
      <x:c r="B1013" s="21" t="str">
        <x:v>/jel/</x:v>
      </x:c>
      <x:c r="C1013" s="38" t="str">
        <x:v>大叫；大喊（补充高频词）</x:v>
      </x:c>
      <x:c r="D1013" s="68"/>
      <x:c r="E1013" s="75"/>
      <x:c r="F1013" s="68"/>
      <x:c r="G1013" s="74"/>
      <x:c r="H1013" s="68"/>
      <x:c r="I1013" s="75"/>
      <x:c r="J1013" s="68"/>
      <x:c r="K1013" s="74"/>
    </x:row>
    <x:row r="1014" ht="17" customHeight="1">
      <x:c r="A1014" s="73" t="str">
        <x:v>形容词（2）</x:v>
      </x:c>
      <x:c r="B1014" s="68"/>
      <x:c r="C1014" s="74"/>
      <x:c r="D1014" s="68"/>
      <x:c r="E1014" s="75"/>
      <x:c r="F1014" s="68"/>
      <x:c r="G1014" s="74"/>
      <x:c r="H1014" s="68"/>
      <x:c r="I1014" s="75"/>
      <x:c r="J1014" s="68"/>
      <x:c r="K1014" s="74"/>
    </x:row>
    <x:row r="1015" ht="20" customHeight="1">
      <x:c r="A1015" s="37" t="str">
        <x:v>yellow</x:v>
      </x:c>
      <x:c r="B1015" s="21" t="str">
        <x:v>/ˈjeləʊ/</x:v>
      </x:c>
      <x:c r="C1015" s="38" t="str">
        <x:v>黄色的</x:v>
      </x:c>
      <x:c r="D1015" s="68"/>
      <x:c r="E1015" s="75"/>
      <x:c r="F1015" s="68"/>
      <x:c r="G1015" s="74"/>
      <x:c r="H1015" s="68"/>
      <x:c r="I1015" s="75"/>
      <x:c r="J1015" s="68"/>
      <x:c r="K1015" s="74"/>
    </x:row>
    <x:row r="1016" ht="20" customHeight="1">
      <x:c r="A1016" s="39" t="str">
        <x:v>young</x:v>
      </x:c>
      <x:c r="B1016" s="28" t="str">
        <x:v>/jʌŋ/</x:v>
      </x:c>
      <x:c r="C1016" s="40" t="str">
        <x:v>年轻的；年幼的</x:v>
      </x:c>
      <x:c r="D1016" s="68"/>
      <x:c r="E1016" s="75"/>
      <x:c r="F1016" s="68"/>
      <x:c r="G1016" s="74"/>
      <x:c r="H1016" s="68"/>
      <x:c r="I1016" s="75"/>
      <x:c r="J1016" s="68"/>
      <x:c r="K1016" s="74"/>
    </x:row>
    <x:row r="1017" ht="17" customHeight="1">
      <x:c r="A1017" s="73" t="str">
        <x:v>副词（2）</x:v>
      </x:c>
      <x:c r="B1017" s="68"/>
      <x:c r="C1017" s="74"/>
      <x:c r="D1017" s="68"/>
      <x:c r="E1017" s="75"/>
      <x:c r="F1017" s="68"/>
      <x:c r="G1017" s="74"/>
      <x:c r="H1017" s="68"/>
      <x:c r="I1017" s="75"/>
      <x:c r="J1017" s="68"/>
      <x:c r="K1017" s="74"/>
    </x:row>
    <x:row r="1018" ht="20" customHeight="1">
      <x:c r="A1018" s="39" t="str">
        <x:v>yet</x:v>
      </x:c>
      <x:c r="B1018" s="28" t="str">
        <x:v>/jet/</x:v>
      </x:c>
      <x:c r="C1018" s="40" t="str">
        <x:v>还；尚；仍然</x:v>
      </x:c>
      <x:c r="D1018" s="68"/>
      <x:c r="E1018" s="75"/>
      <x:c r="F1018" s="68"/>
      <x:c r="G1018" s="74"/>
      <x:c r="H1018" s="68"/>
      <x:c r="I1018" s="75"/>
      <x:c r="J1018" s="68"/>
      <x:c r="K1018" s="74"/>
    </x:row>
    <x:row r="1019" ht="20" customHeight="1">
      <x:c r="A1019" s="37" t="str">
        <x:v>yesterday</x:v>
      </x:c>
      <x:c r="B1019" s="21" t="str">
        <x:v>/ˈjestədeɪ/</x:v>
      </x:c>
      <x:c r="C1019" s="38" t="str">
        <x:v>昨天；近日</x:v>
      </x:c>
      <x:c r="D1019" s="68"/>
      <x:c r="E1019" s="75"/>
      <x:c r="F1019" s="68"/>
      <x:c r="G1019" s="74"/>
      <x:c r="H1019" s="68"/>
      <x:c r="I1019" s="75"/>
      <x:c r="J1019" s="68"/>
      <x:c r="K1019" s="74"/>
    </x:row>
    <x:row r="1020" ht="17" customHeight="1">
      <x:c r="A1020" s="73" t="str">
        <x:v>代词（4）</x:v>
      </x:c>
      <x:c r="B1020" s="68"/>
      <x:c r="C1020" s="74"/>
      <x:c r="D1020" s="68"/>
      <x:c r="E1020" s="75"/>
      <x:c r="F1020" s="68"/>
      <x:c r="G1020" s="74"/>
      <x:c r="H1020" s="68"/>
      <x:c r="I1020" s="75"/>
      <x:c r="J1020" s="68"/>
      <x:c r="K1020" s="74"/>
    </x:row>
    <x:row r="1021" ht="20" customHeight="1">
      <x:c r="A1021" s="37" t="str">
        <x:v>you</x:v>
      </x:c>
      <x:c r="B1021" s="21" t="str">
        <x:v>/juː/</x:v>
      </x:c>
      <x:c r="C1021" s="38" t="str">
        <x:v>你；你们</x:v>
      </x:c>
      <x:c r="D1021" s="68"/>
      <x:c r="E1021" s="75"/>
      <x:c r="F1021" s="68"/>
      <x:c r="G1021" s="74"/>
      <x:c r="H1021" s="68"/>
      <x:c r="I1021" s="75"/>
      <x:c r="J1021" s="68"/>
      <x:c r="K1021" s="74"/>
    </x:row>
    <x:row r="1022" ht="20" customHeight="1">
      <x:c r="A1022" s="39" t="str">
        <x:v>your</x:v>
      </x:c>
      <x:c r="B1022" s="28" t="str">
        <x:v>/jɔː/</x:v>
      </x:c>
      <x:c r="C1022" s="40" t="str">
        <x:v>你的；你们的</x:v>
      </x:c>
      <x:c r="D1022" s="68"/>
      <x:c r="E1022" s="75"/>
      <x:c r="F1022" s="68"/>
      <x:c r="G1022" s="74"/>
      <x:c r="H1022" s="68"/>
      <x:c r="I1022" s="75"/>
      <x:c r="J1022" s="68"/>
      <x:c r="K1022" s="74"/>
    </x:row>
    <x:row r="1023" ht="20" customHeight="1">
      <x:c r="A1023" s="37" t="str">
        <x:v>yours</x:v>
      </x:c>
      <x:c r="B1023" s="21" t="str">
        <x:v>/jɔːz/</x:v>
      </x:c>
      <x:c r="C1023" s="38" t="str">
        <x:v>你的；你们的</x:v>
      </x:c>
      <x:c r="D1023" s="68"/>
      <x:c r="E1023" s="75"/>
      <x:c r="F1023" s="68"/>
      <x:c r="G1023" s="74"/>
      <x:c r="H1023" s="68"/>
      <x:c r="I1023" s="75"/>
      <x:c r="J1023" s="68"/>
      <x:c r="K1023" s="74"/>
    </x:row>
    <x:row r="1024" ht="20" customHeight="1">
      <x:c r="A1024" s="39" t="str">
        <x:v>yourself</x:v>
      </x:c>
      <x:c r="B1024" s="28" t="str">
        <x:v>/jɔːˈself/</x:v>
      </x:c>
      <x:c r="C1024" s="40" t="str">
        <x:v>你自己；你们自己</x:v>
      </x:c>
      <x:c r="D1024" s="68"/>
      <x:c r="E1024" s="75"/>
      <x:c r="F1024" s="68"/>
      <x:c r="G1024" s="74"/>
      <x:c r="H1024" s="68"/>
      <x:c r="I1024" s="75"/>
      <x:c r="J1024" s="68"/>
      <x:c r="K1024" s="74"/>
    </x:row>
    <x:row r="1025" ht="17" customHeight="1">
      <x:c r="A1025" s="79" t="str">
        <x:v>短语（4）</x:v>
      </x:c>
      <x:c r="B1025" s="77"/>
      <x:c r="C1025" s="78"/>
      <x:c r="D1025" s="68"/>
      <x:c r="E1025" s="76"/>
      <x:c r="F1025" s="77"/>
      <x:c r="G1025" s="78"/>
      <x:c r="H1025" s="68"/>
      <x:c r="I1025" s="76"/>
      <x:c r="J1025" s="77"/>
      <x:c r="K1025" s="78"/>
    </x:row>
    <x:row r="1026">
      <x:c r="A1026" s="68"/>
      <x:c r="B1026" s="68"/>
      <x:c r="C1026" s="68"/>
      <x:c r="D1026" s="68"/>
      <x:c r="E1026" s="68"/>
      <x:c r="F1026" s="68"/>
      <x:c r="G1026" s="68"/>
      <x:c r="H1026" s="68"/>
      <x:c r="I1026" s="68"/>
      <x:c r="J1026" s="68"/>
      <x:c r="K1026" s="68"/>
    </x:row>
    <x:row r="1027" ht="27" customHeight="1">
      <x:c r="A1027" s="65" t="str">
        <x:v>Z 开头单词</x:v>
      </x:c>
      <x:c r="B1027" s="66"/>
      <x:c r="C1027" s="67"/>
      <x:c r="D1027" s="68"/>
      <x:c r="E1027" s="69"/>
      <x:c r="F1027" s="66"/>
      <x:c r="G1027" s="67"/>
      <x:c r="H1027" s="68"/>
      <x:c r="I1027" s="69"/>
      <x:c r="J1027" s="66"/>
      <x:c r="K1027" s="67"/>
    </x:row>
    <x:row r="1028" ht="19" customHeight="1">
      <x:c r="A1028" s="70" t="str">
        <x:v>英文单词 / 短语</x:v>
      </x:c>
      <x:c r="B1028" s="71" t="str">
        <x:v>音标</x:v>
      </x:c>
      <x:c r="C1028" s="72" t="str">
        <x:v>中文解释</x:v>
      </x:c>
      <x:c r="D1028" s="68"/>
      <x:c r="E1028" s="70" t="str">
        <x:v>英文单词 / 短语</x:v>
      </x:c>
      <x:c r="F1028" s="71" t="str">
        <x:v>音标</x:v>
      </x:c>
      <x:c r="G1028" s="72" t="str">
        <x:v>中文解释</x:v>
      </x:c>
      <x:c r="H1028" s="68"/>
      <x:c r="I1028" s="70" t="str">
        <x:v>英文单词 / 短语</x:v>
      </x:c>
      <x:c r="J1028" s="71" t="str">
        <x:v>音标</x:v>
      </x:c>
      <x:c r="K1028" s="72" t="str">
        <x:v>中文解释</x:v>
      </x:c>
    </x:row>
    <x:row r="1029" ht="17" customHeight="1">
      <x:c r="A1029" s="73" t="str">
        <x:v>名词（2）</x:v>
      </x:c>
      <x:c r="B1029" s="68"/>
      <x:c r="C1029" s="74"/>
      <x:c r="D1029" s="68"/>
      <x:c r="E1029" s="75"/>
      <x:c r="F1029" s="68"/>
      <x:c r="G1029" s="74"/>
      <x:c r="H1029" s="68"/>
      <x:c r="I1029" s="75"/>
      <x:c r="J1029" s="68"/>
      <x:c r="K1029" s="74"/>
    </x:row>
    <x:row r="1030" ht="20" customHeight="1">
      <x:c r="A1030" s="37" t="str">
        <x:v>zebra</x:v>
      </x:c>
      <x:c r="B1030" s="21" t="str">
        <x:v>/ˈziːbrə/</x:v>
      </x:c>
      <x:c r="C1030" s="38" t="str">
        <x:v>斑马</x:v>
      </x:c>
      <x:c r="D1030" s="68"/>
      <x:c r="E1030" s="75"/>
      <x:c r="F1030" s="68"/>
      <x:c r="G1030" s="74"/>
      <x:c r="H1030" s="68"/>
      <x:c r="I1030" s="75"/>
      <x:c r="J1030" s="68"/>
      <x:c r="K1030" s="74"/>
    </x:row>
    <x:row r="1031" ht="20" customHeight="1">
      <x:c r="A1031" s="39" t="str">
        <x:v>zoo</x:v>
      </x:c>
      <x:c r="B1031" s="28" t="str">
        <x:v>/zuː/</x:v>
      </x:c>
      <x:c r="C1031" s="40" t="str">
        <x:v>动物园</x:v>
      </x:c>
      <x:c r="D1031" s="68"/>
      <x:c r="E1031" s="75"/>
      <x:c r="F1031" s="68"/>
      <x:c r="G1031" s="74"/>
      <x:c r="H1031" s="68"/>
      <x:c r="I1031" s="75"/>
      <x:c r="J1031" s="68"/>
      <x:c r="K1031" s="74"/>
    </x:row>
    <x:row r="1032" ht="17" customHeight="1">
      <x:c r="A1032" s="73" t="str">
        <x:v>形容词（1）</x:v>
      </x:c>
      <x:c r="B1032" s="68"/>
      <x:c r="C1032" s="74"/>
      <x:c r="D1032" s="68"/>
      <x:c r="E1032" s="75"/>
      <x:c r="F1032" s="68"/>
      <x:c r="G1032" s="74"/>
      <x:c r="H1032" s="68"/>
      <x:c r="I1032" s="75"/>
      <x:c r="J1032" s="68"/>
      <x:c r="K1032" s="74"/>
    </x:row>
    <x:row r="1033" ht="20" customHeight="1">
      <x:c r="A1033" s="39" t="str">
        <x:v>zero</x:v>
      </x:c>
      <x:c r="B1033" s="28" t="str">
        <x:v>/ˈzɪərəʊ/</x:v>
      </x:c>
      <x:c r="C1033" s="40" t="str">
        <x:v>零的；没有的</x:v>
      </x:c>
      <x:c r="D1033" s="68"/>
      <x:c r="E1033" s="75"/>
      <x:c r="F1033" s="68"/>
      <x:c r="G1033" s="74"/>
      <x:c r="H1033" s="68"/>
      <x:c r="I1033" s="75"/>
      <x:c r="J1033" s="68"/>
      <x:c r="K1033" s="74"/>
    </x:row>
    <x:row r="1034" ht="17" customHeight="1">
      <x:c r="A1034" s="73" t="str">
        <x:v>数词（1）</x:v>
      </x:c>
      <x:c r="B1034" s="68"/>
      <x:c r="C1034" s="74"/>
      <x:c r="D1034" s="68"/>
      <x:c r="E1034" s="75"/>
      <x:c r="F1034" s="68"/>
      <x:c r="G1034" s="74"/>
      <x:c r="H1034" s="68"/>
      <x:c r="I1034" s="75"/>
      <x:c r="J1034" s="68"/>
      <x:c r="K1034" s="74"/>
    </x:row>
    <x:row r="1035" ht="20" customHeight="1">
      <x:c r="A1035" s="39" t="str">
        <x:v>zero</x:v>
      </x:c>
      <x:c r="B1035" s="28" t="str">
        <x:v>/ˈzɪərəʊ/</x:v>
      </x:c>
      <x:c r="C1035" s="40" t="str">
        <x:v>零</x:v>
      </x:c>
      <x:c r="D1035" s="68"/>
      <x:c r="E1035" s="75"/>
      <x:c r="F1035" s="68"/>
      <x:c r="G1035" s="74"/>
      <x:c r="H1035" s="68"/>
      <x:c r="I1035" s="75"/>
      <x:c r="J1035" s="68"/>
      <x:c r="K1035" s="74"/>
    </x:row>
    <x:row r="1036">
      <x:c r="A1036" s="75"/>
      <x:c r="B1036" s="68"/>
      <x:c r="C1036" s="74"/>
      <x:c r="D1036" s="68"/>
      <x:c r="E1036" s="75"/>
      <x:c r="F1036" s="68"/>
      <x:c r="G1036" s="74"/>
      <x:c r="H1036" s="68"/>
      <x:c r="I1036" s="75"/>
      <x:c r="J1036" s="68"/>
      <x:c r="K1036" s="74"/>
    </x:row>
    <x:row r="1037">
      <x:c r="A1037" s="75"/>
      <x:c r="B1037" s="68"/>
      <x:c r="C1037" s="74"/>
      <x:c r="D1037" s="68"/>
      <x:c r="E1037" s="75"/>
      <x:c r="F1037" s="68"/>
      <x:c r="G1037" s="74"/>
      <x:c r="H1037" s="68"/>
      <x:c r="I1037" s="75"/>
      <x:c r="J1037" s="68"/>
      <x:c r="K1037" s="74"/>
    </x:row>
    <x:row r="1038">
      <x:c r="A1038" s="75"/>
      <x:c r="B1038" s="68"/>
      <x:c r="C1038" s="74"/>
      <x:c r="D1038" s="68"/>
      <x:c r="E1038" s="75"/>
      <x:c r="F1038" s="68"/>
      <x:c r="G1038" s="74"/>
      <x:c r="H1038" s="68"/>
      <x:c r="I1038" s="75"/>
      <x:c r="J1038" s="68"/>
      <x:c r="K1038" s="74"/>
    </x:row>
    <x:row r="1039">
      <x:c r="A1039" s="75"/>
      <x:c r="B1039" s="68"/>
      <x:c r="C1039" s="74"/>
      <x:c r="D1039" s="68"/>
      <x:c r="E1039" s="75"/>
      <x:c r="F1039" s="68"/>
      <x:c r="G1039" s="74"/>
      <x:c r="H1039" s="68"/>
      <x:c r="I1039" s="75"/>
      <x:c r="J1039" s="68"/>
      <x:c r="K1039" s="74"/>
    </x:row>
    <x:row r="1040">
      <x:c r="A1040" s="75"/>
      <x:c r="B1040" s="68"/>
      <x:c r="C1040" s="74"/>
      <x:c r="D1040" s="68"/>
      <x:c r="E1040" s="75"/>
      <x:c r="F1040" s="68"/>
      <x:c r="G1040" s="74"/>
      <x:c r="H1040" s="68"/>
      <x:c r="I1040" s="75"/>
      <x:c r="J1040" s="68"/>
      <x:c r="K1040" s="74"/>
    </x:row>
    <x:row r="1041">
      <x:c r="A1041" s="75"/>
      <x:c r="B1041" s="68"/>
      <x:c r="C1041" s="74"/>
      <x:c r="D1041" s="68"/>
      <x:c r="E1041" s="75"/>
      <x:c r="F1041" s="68"/>
      <x:c r="G1041" s="74"/>
      <x:c r="H1041" s="68"/>
      <x:c r="I1041" s="75"/>
      <x:c r="J1041" s="68"/>
      <x:c r="K1041" s="74"/>
    </x:row>
    <x:row r="1042">
      <x:c r="A1042" s="75"/>
      <x:c r="B1042" s="68"/>
      <x:c r="C1042" s="74"/>
      <x:c r="D1042" s="68"/>
      <x:c r="E1042" s="75"/>
      <x:c r="F1042" s="68"/>
      <x:c r="G1042" s="74"/>
      <x:c r="H1042" s="68"/>
      <x:c r="I1042" s="75"/>
      <x:c r="J1042" s="68"/>
      <x:c r="K1042" s="74"/>
    </x:row>
    <x:row r="1043">
      <x:c r="A1043" s="75"/>
      <x:c r="B1043" s="68"/>
      <x:c r="C1043" s="74"/>
      <x:c r="D1043" s="68"/>
      <x:c r="E1043" s="75"/>
      <x:c r="F1043" s="68"/>
      <x:c r="G1043" s="74"/>
      <x:c r="H1043" s="68"/>
      <x:c r="I1043" s="75"/>
      <x:c r="J1043" s="68"/>
      <x:c r="K1043" s="74"/>
    </x:row>
    <x:row r="1044">
      <x:c r="A1044" s="75"/>
      <x:c r="B1044" s="68"/>
      <x:c r="C1044" s="74"/>
      <x:c r="D1044" s="68"/>
      <x:c r="E1044" s="75"/>
      <x:c r="F1044" s="68"/>
      <x:c r="G1044" s="74"/>
      <x:c r="H1044" s="68"/>
      <x:c r="I1044" s="75"/>
      <x:c r="J1044" s="68"/>
      <x:c r="K1044" s="74"/>
    </x:row>
    <x:row r="1045">
      <x:c r="A1045" s="75"/>
      <x:c r="B1045" s="68"/>
      <x:c r="C1045" s="74"/>
      <x:c r="D1045" s="68"/>
      <x:c r="E1045" s="75"/>
      <x:c r="F1045" s="68"/>
      <x:c r="G1045" s="74"/>
      <x:c r="H1045" s="68"/>
      <x:c r="I1045" s="75"/>
      <x:c r="J1045" s="68"/>
      <x:c r="K1045" s="74"/>
    </x:row>
    <x:row r="1046">
      <x:c r="A1046" s="75"/>
      <x:c r="B1046" s="68"/>
      <x:c r="C1046" s="74"/>
      <x:c r="D1046" s="68"/>
      <x:c r="E1046" s="75"/>
      <x:c r="F1046" s="68"/>
      <x:c r="G1046" s="74"/>
      <x:c r="H1046" s="68"/>
      <x:c r="I1046" s="75"/>
      <x:c r="J1046" s="68"/>
      <x:c r="K1046" s="74"/>
    </x:row>
    <x:row r="1047">
      <x:c r="A1047" s="75"/>
      <x:c r="B1047" s="68"/>
      <x:c r="C1047" s="74"/>
      <x:c r="D1047" s="68"/>
      <x:c r="E1047" s="75"/>
      <x:c r="F1047" s="68"/>
      <x:c r="G1047" s="74"/>
      <x:c r="H1047" s="68"/>
      <x:c r="I1047" s="75"/>
      <x:c r="J1047" s="68"/>
      <x:c r="K1047" s="74"/>
    </x:row>
    <x:row r="1048">
      <x:c r="A1048" s="75"/>
      <x:c r="B1048" s="68"/>
      <x:c r="C1048" s="74"/>
      <x:c r="D1048" s="68"/>
      <x:c r="E1048" s="75"/>
      <x:c r="F1048" s="68"/>
      <x:c r="G1048" s="74"/>
      <x:c r="H1048" s="68"/>
      <x:c r="I1048" s="75"/>
      <x:c r="J1048" s="68"/>
      <x:c r="K1048" s="74"/>
    </x:row>
    <x:row r="1049">
      <x:c r="A1049" s="75"/>
      <x:c r="B1049" s="68"/>
      <x:c r="C1049" s="74"/>
      <x:c r="D1049" s="68"/>
      <x:c r="E1049" s="75"/>
      <x:c r="F1049" s="68"/>
      <x:c r="G1049" s="74"/>
      <x:c r="H1049" s="68"/>
      <x:c r="I1049" s="75"/>
      <x:c r="J1049" s="68"/>
      <x:c r="K1049" s="74"/>
    </x:row>
    <x:row r="1050">
      <x:c r="A1050" s="75"/>
      <x:c r="B1050" s="68"/>
      <x:c r="C1050" s="74"/>
      <x:c r="D1050" s="68"/>
      <x:c r="E1050" s="75"/>
      <x:c r="F1050" s="68"/>
      <x:c r="G1050" s="74"/>
      <x:c r="H1050" s="68"/>
      <x:c r="I1050" s="75"/>
      <x:c r="J1050" s="68"/>
      <x:c r="K1050" s="74"/>
    </x:row>
    <x:row r="1051">
      <x:c r="A1051" s="75"/>
      <x:c r="B1051" s="68"/>
      <x:c r="C1051" s="74"/>
      <x:c r="D1051" s="68"/>
      <x:c r="E1051" s="75"/>
      <x:c r="F1051" s="68"/>
      <x:c r="G1051" s="74"/>
      <x:c r="H1051" s="68"/>
      <x:c r="I1051" s="75"/>
      <x:c r="J1051" s="68"/>
      <x:c r="K1051" s="74"/>
    </x:row>
    <x:row r="1052">
      <x:c r="A1052" s="76"/>
      <x:c r="B1052" s="77"/>
      <x:c r="C1052" s="78"/>
      <x:c r="D1052" s="68"/>
      <x:c r="E1052" s="76"/>
      <x:c r="F1052" s="77"/>
      <x:c r="G1052" s="78"/>
      <x:c r="H1052" s="68"/>
      <x:c r="I1052" s="76"/>
      <x:c r="J1052" s="77"/>
      <x:c r="K1052" s="78"/>
    </x:row>
    <x:row r="1053">
      <x:c r="A1053" s="68"/>
      <x:c r="B1053" s="68"/>
      <x:c r="C1053" s="68"/>
      <x:c r="D1053" s="68"/>
      <x:c r="E1053" s="68"/>
      <x:c r="F1053" s="68"/>
      <x:c r="G1053" s="68"/>
      <x:c r="H1053" s="68"/>
      <x:c r="I1053" s="68"/>
      <x:c r="J1053" s="68"/>
      <x:c r="K1053" s="68"/>
    </x:row>
  </x:sheetData>
  <x:mergeCells>
    <x:mergeCell ref="A1:K1"/>
    <x:mergeCell ref="A3:C3"/>
    <x:mergeCell ref="E10:G10"/>
    <x:mergeCell ref="E21:G21"/>
    <x:mergeCell ref="I9:K9"/>
    <x:mergeCell ref="I24:K24"/>
    <x:mergeCell ref="A28:K28"/>
    <x:mergeCell ref="A37:C37"/>
    <x:mergeCell ref="A41:C41"/>
    <x:mergeCell ref="A47:C47"/>
    <x:mergeCell ref="A55:K55"/>
    <x:mergeCell ref="A57:C57"/>
    <x:mergeCell ref="E72:G72"/>
    <x:mergeCell ref="I59:K59"/>
    <x:mergeCell ref="I78:K78"/>
    <x:mergeCell ref="A82:K82"/>
    <x:mergeCell ref="A84:C84"/>
    <x:mergeCell ref="A89:C89"/>
    <x:mergeCell ref="A93:C93"/>
    <x:mergeCell ref="A95:C95"/>
    <x:mergeCell ref="A97:C97"/>
    <x:mergeCell ref="A99:C99"/>
    <x:mergeCell ref="A109:K109"/>
    <x:mergeCell ref="A111:C111"/>
    <x:mergeCell ref="I122:K122"/>
    <x:mergeCell ref="A136:K136"/>
    <x:mergeCell ref="A155:C155"/>
    <x:mergeCell ref="E152:G152"/>
    <x:mergeCell ref="E156:G156"/>
    <x:mergeCell ref="E159:G159"/>
    <x:mergeCell ref="A163:K163"/>
    <x:mergeCell ref="A165:C165"/>
    <x:mergeCell ref="E168:G168"/>
    <x:mergeCell ref="E183:G183"/>
    <x:mergeCell ref="I171:K171"/>
    <x:mergeCell ref="I174:K174"/>
    <x:mergeCell ref="I177:K177"/>
    <x:mergeCell ref="A190:K190"/>
    <x:mergeCell ref="A192:C192"/>
    <x:mergeCell ref="A210:C210"/>
    <x:mergeCell ref="E196:G196"/>
    <x:mergeCell ref="E210:G210"/>
    <x:mergeCell ref="I193:K193"/>
    <x:mergeCell ref="I196:K196"/>
    <x:mergeCell ref="I202:K202"/>
    <x:mergeCell ref="A217:K217"/>
    <x:mergeCell ref="A219:C219"/>
    <x:mergeCell ref="E232:G232"/>
    <x:mergeCell ref="I222:K222"/>
    <x:mergeCell ref="A244:K244"/>
    <x:mergeCell ref="A246:C246"/>
    <x:mergeCell ref="A251:C251"/>
    <x:mergeCell ref="A254:C254"/>
    <x:mergeCell ref="A256:C256"/>
    <x:mergeCell ref="A263:C263"/>
    <x:mergeCell ref="A271:K271"/>
    <x:mergeCell ref="A273:C273"/>
    <x:mergeCell ref="A291:C291"/>
    <x:mergeCell ref="E273:G273"/>
    <x:mergeCell ref="E278:G278"/>
    <x:mergeCell ref="E280:G280"/>
    <x:mergeCell ref="E282:G282"/>
    <x:mergeCell ref="A298:K298"/>
    <x:mergeCell ref="A300:C300"/>
    <x:mergeCell ref="E310:G310"/>
    <x:mergeCell ref="E321:G321"/>
    <x:mergeCell ref="I308:K308"/>
    <x:mergeCell ref="I314:K314"/>
    <x:mergeCell ref="I316:K316"/>
    <x:mergeCell ref="I323:K323"/>
    <x:mergeCell ref="A325:K325"/>
    <x:mergeCell ref="A329:C329"/>
    <x:mergeCell ref="A334:C334"/>
    <x:mergeCell ref="A352:K352"/>
    <x:mergeCell ref="A354:C354"/>
    <x:mergeCell ref="A365:C365"/>
    <x:mergeCell ref="A374:C374"/>
    <x:mergeCell ref="E358:G358"/>
    <x:mergeCell ref="E362:G362"/>
    <x:mergeCell ref="E365:G365"/>
    <x:mergeCell ref="E367:G367"/>
    <x:mergeCell ref="E371:G371"/>
    <x:mergeCell ref="A379:K379"/>
    <x:mergeCell ref="A381:C381"/>
    <x:mergeCell ref="A385:C385"/>
    <x:mergeCell ref="A406:K406"/>
    <x:mergeCell ref="A408:C408"/>
    <x:mergeCell ref="A421:C421"/>
    <x:mergeCell ref="A425:C425"/>
    <x:mergeCell ref="A428:C428"/>
    <x:mergeCell ref="A433:K433"/>
    <x:mergeCell ref="A435:C435"/>
    <x:mergeCell ref="E446:G446"/>
    <x:mergeCell ref="I439:K439"/>
    <x:mergeCell ref="I455:K455"/>
    <x:mergeCell ref="A460:K460"/>
    <x:mergeCell ref="A466:C466"/>
    <x:mergeCell ref="A468:C468"/>
    <x:mergeCell ref="A470:C470"/>
    <x:mergeCell ref="A472:C472"/>
    <x:mergeCell ref="A487:K487"/>
    <x:mergeCell ref="A489:C489"/>
    <x:mergeCell ref="E491:G491"/>
    <x:mergeCell ref="E506:G506"/>
    <x:mergeCell ref="I496:K496"/>
    <x:mergeCell ref="I507:K507"/>
    <x:mergeCell ref="I509:K509"/>
    <x:mergeCell ref="I511:K511"/>
    <x:mergeCell ref="A514:K514"/>
    <x:mergeCell ref="A516:C516"/>
    <x:mergeCell ref="A535:C535"/>
    <x:mergeCell ref="A538:C538"/>
    <x:mergeCell ref="E529:G529"/>
    <x:mergeCell ref="E538:G538"/>
    <x:mergeCell ref="I517:K517"/>
    <x:mergeCell ref="I522:K522"/>
    <x:mergeCell ref="A541:K541"/>
    <x:mergeCell ref="A543:C543"/>
    <x:mergeCell ref="A556:C556"/>
    <x:mergeCell ref="A561:C561"/>
    <x:mergeCell ref="E544:G544"/>
    <x:mergeCell ref="E553:G553"/>
    <x:mergeCell ref="E558:G558"/>
    <x:mergeCell ref="E564:G564"/>
    <x:mergeCell ref="E566:G566"/>
    <x:mergeCell ref="A568:K568"/>
    <x:mergeCell ref="A570:C570"/>
    <x:mergeCell ref="A595:K595"/>
    <x:mergeCell ref="E602:G602"/>
    <x:mergeCell ref="A622:K622"/>
    <x:mergeCell ref="A624:C624"/>
    <x:mergeCell ref="E628:G628"/>
    <x:mergeCell ref="E637:G637"/>
    <x:mergeCell ref="E641:G641"/>
    <x:mergeCell ref="E643:G643"/>
    <x:mergeCell ref="E645:G645"/>
    <x:mergeCell ref="A649:K649"/>
    <x:mergeCell ref="A651:C651"/>
    <x:mergeCell ref="A654:C654"/>
    <x:mergeCell ref="A656:C656"/>
    <x:mergeCell ref="A658:C658"/>
    <x:mergeCell ref="A660:C660"/>
    <x:mergeCell ref="A662:C662"/>
    <x:mergeCell ref="A664:C664"/>
    <x:mergeCell ref="A676:K676"/>
    <x:mergeCell ref="A678:C678"/>
    <x:mergeCell ref="A700:C700"/>
    <x:mergeCell ref="E692:G692"/>
    <x:mergeCell ref="I681:K681"/>
    <x:mergeCell ref="I684:K684"/>
    <x:mergeCell ref="I687:K687"/>
    <x:mergeCell ref="A703:K703"/>
    <x:mergeCell ref="A705:C705"/>
    <x:mergeCell ref="A730:K730"/>
    <x:mergeCell ref="E738:G738"/>
    <x:mergeCell ref="A757:K757"/>
    <x:mergeCell ref="A763:C763"/>
    <x:mergeCell ref="E776:G776"/>
    <x:mergeCell ref="I760:K760"/>
    <x:mergeCell ref="I762:K762"/>
    <x:mergeCell ref="I770:K770"/>
    <x:mergeCell ref="I777:K777"/>
    <x:mergeCell ref="I780:K780"/>
    <x:mergeCell ref="A784:K784"/>
    <x:mergeCell ref="A811:K811"/>
    <x:mergeCell ref="A813:C813"/>
    <x:mergeCell ref="A838:K838"/>
    <x:mergeCell ref="A841:C841"/>
    <x:mergeCell ref="A858:C858"/>
    <x:mergeCell ref="E843:G843"/>
    <x:mergeCell ref="E849:G849"/>
    <x:mergeCell ref="E853:G853"/>
    <x:mergeCell ref="E857:G857"/>
    <x:mergeCell ref="I844:K844"/>
    <x:mergeCell ref="I855:K855"/>
    <x:mergeCell ref="A865:K865"/>
    <x:mergeCell ref="A892:K892"/>
    <x:mergeCell ref="A894:C894"/>
    <x:mergeCell ref="A899:C899"/>
    <x:mergeCell ref="A902:C902"/>
    <x:mergeCell ref="A905:C905"/>
    <x:mergeCell ref="A907:C907"/>
    <x:mergeCell ref="A909:C909"/>
    <x:mergeCell ref="A919:K919"/>
    <x:mergeCell ref="A921:C921"/>
    <x:mergeCell ref="A930:C930"/>
    <x:mergeCell ref="A933:C933"/>
    <x:mergeCell ref="A938:C938"/>
    <x:mergeCell ref="A940:C940"/>
    <x:mergeCell ref="A946:K946"/>
    <x:mergeCell ref="A948:C948"/>
    <x:mergeCell ref="E964:G964"/>
    <x:mergeCell ref="I956:K956"/>
    <x:mergeCell ref="I969:K969"/>
    <x:mergeCell ref="A973:K973"/>
    <x:mergeCell ref="A975:C975"/>
    <x:mergeCell ref="A978:C978"/>
    <x:mergeCell ref="A984:C984"/>
    <x:mergeCell ref="A995:C995"/>
    <x:mergeCell ref="A1000:K1000"/>
    <x:mergeCell ref="A1002:C1002"/>
    <x:mergeCell ref="A1011:C1011"/>
    <x:mergeCell ref="A1014:C1014"/>
    <x:mergeCell ref="A1017:C1017"/>
    <x:mergeCell ref="A1020:C1020"/>
    <x:mergeCell ref="A1025:C1025"/>
    <x:mergeCell ref="A1027:K1027"/>
    <x:mergeCell ref="A1029:C1029"/>
    <x:mergeCell ref="A1032:C1032"/>
    <x:mergeCell ref="A1034:C1034"/>
  </x:mergeCells>
  <x:printOptions horizontalCentered="1"/>
  <x:pageMargins left="0.25" right="0.25" top="0.25" bottom="0.25" header="0.10" footer="0.10"/>
  <x:pageSetup paperSize="9" orientation="landscape" fitToWidth="1" fitToHeight="0" scale="100"/>
  <x:rowBreaks count="38" manualBreakCount="38">
    <x:brk id="27" max="16383" man="1"/>
    <x:brk id="54" max="16383" man="1"/>
    <x:brk id="81" max="16383" man="1"/>
    <x:brk id="108" max="16383" man="1"/>
    <x:brk id="135" max="16383" man="1"/>
    <x:brk id="162" max="16383" man="1"/>
    <x:brk id="189" max="16383" man="1"/>
    <x:brk id="216" max="16383" man="1"/>
    <x:brk id="243" max="16383" man="1"/>
    <x:brk id="270" max="16383" man="1"/>
    <x:brk id="297" max="16383" man="1"/>
    <x:brk id="324" max="16383" man="1"/>
    <x:brk id="351" max="16383" man="1"/>
    <x:brk id="378" max="16383" man="1"/>
    <x:brk id="405" max="16383" man="1"/>
    <x:brk id="432" max="16383" man="1"/>
    <x:brk id="459" max="16383" man="1"/>
    <x:brk id="486" max="16383" man="1"/>
    <x:brk id="513" max="16383" man="1"/>
    <x:brk id="540" max="16383" man="1"/>
    <x:brk id="567" max="16383" man="1"/>
    <x:brk id="594" max="16383" man="1"/>
    <x:brk id="621" max="16383" man="1"/>
    <x:brk id="648" max="16383" man="1"/>
    <x:brk id="675" max="16383" man="1"/>
    <x:brk id="702" max="16383" man="1"/>
    <x:brk id="729" max="16383" man="1"/>
    <x:brk id="756" max="16383" man="1"/>
    <x:brk id="783" max="16383" man="1"/>
    <x:brk id="810" max="16383" man="1"/>
    <x:brk id="837" max="16383" man="1"/>
    <x:brk id="864" max="16383" man="1"/>
    <x:brk id="891" max="16383" man="1"/>
    <x:brk id="918" max="16383" man="1"/>
    <x:brk id="945" max="16383" man="1"/>
    <x:brk id="972" max="16383" man="1"/>
    <x:brk id="999" max="16383" man="1"/>
    <x:brk id="1026" max="16383" man="1"/>
  </x:rowBreak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69999980926514" hidden="0" customWidth="1"/>
    <x:col min="2" max="2" width="13.130000114440918" hidden="0" customWidth="1"/>
    <x:col min="3" max="3" width="5.28000020980835" hidden="0" customWidth="1"/>
    <x:col min="4" max="4" width="22.700000762939453" hidden="0" customWidth="1"/>
    <x:col min="5" max="5" width="15.34000015258789" hidden="0" customWidth="1"/>
    <x:col min="6" max="6" width="43.560001373291016" hidden="0" customWidth="1"/>
    <x:col min="7" max="7" width="50.91999816894531" hidden="0" customWidth="1"/>
  </x:cols>
  <x:sheetData>
    <x:row r="1" ht="18" customHeight="1">
      <x:c r="A1" s="95" t="str">
        <x:v>字母</x:v>
      </x:c>
      <x:c r="B1" s="95" t="str">
        <x:v>分类</x:v>
      </x:c>
      <x:c r="C1" s="95" t="str">
        <x:v>序号</x:v>
      </x:c>
      <x:c r="D1" s="95" t="str">
        <x:v>英文单词/短语</x:v>
      </x:c>
      <x:c r="E1" s="95" t="str">
        <x:v>音标</x:v>
      </x:c>
      <x:c r="F1" s="95" t="str">
        <x:v>中文解释</x:v>
      </x:c>
      <x:c r="G1" s="95" t="str">
        <x:v>原文</x:v>
      </x:c>
    </x:row>
    <x:row r="2" ht="18" customHeight="1">
      <x:c r="A2" s="99" t="str">
        <x:v>A</x:v>
      </x:c>
      <x:c r="B2" s="99" t="str">
        <x:v>名词</x:v>
      </x:c>
      <x:c r="C2" s="99" t="n">
        <x:v>1</x:v>
      </x:c>
      <x:c r="D2" s="99" t="str">
        <x:v>ache</x:v>
      </x:c>
      <x:c r="E2" s="99" t="str">
        <x:v>/eɪk/</x:v>
      </x:c>
      <x:c r="F2" s="99" t="str">
        <x:v>痛；疼痛</x:v>
      </x:c>
      <x:c r="G2" s="99" t="str">
        <x:v>1. ache /eɪk/ 痛；疼痛</x:v>
      </x:c>
    </x:row>
    <x:row r="3" ht="18" customHeight="1">
      <x:c r="A3" s="99" t="str">
        <x:v>A</x:v>
      </x:c>
      <x:c r="B3" s="99" t="str">
        <x:v>名词</x:v>
      </x:c>
      <x:c r="C3" s="99" t="n">
        <x:v>2</x:v>
      </x:c>
      <x:c r="D3" s="99" t="str">
        <x:v>activity</x:v>
      </x:c>
      <x:c r="E3" s="99" t="str">
        <x:v>/ækˈtɪvəti/</x:v>
      </x:c>
      <x:c r="F3" s="99" t="str">
        <x:v>活动</x:v>
      </x:c>
      <x:c r="G3" s="99" t="str">
        <x:v>2. activity /ækˈtɪvəti/ 活动</x:v>
      </x:c>
    </x:row>
    <x:row r="4" ht="18" customHeight="1">
      <x:c r="A4" s="99" t="str">
        <x:v>A</x:v>
      </x:c>
      <x:c r="B4" s="99" t="str">
        <x:v>名词</x:v>
      </x:c>
      <x:c r="C4" s="99" t="n">
        <x:v>3</x:v>
      </x:c>
      <x:c r="D4" s="99" t="str">
        <x:v>accident</x:v>
      </x:c>
      <x:c r="E4" s="99" t="str">
        <x:v>/ˈæksɪdənt/</x:v>
      </x:c>
      <x:c r="F4" s="99" t="str">
        <x:v>交通事故；意外事件</x:v>
      </x:c>
      <x:c r="G4" s="99" t="str">
        <x:v>3. accident /ˈæksɪdənt/ 交通事故；意外事件</x:v>
      </x:c>
    </x:row>
    <x:row r="5" ht="18" customHeight="1">
      <x:c r="A5" s="99" t="str">
        <x:v>A</x:v>
      </x:c>
      <x:c r="B5" s="99" t="str">
        <x:v>名词</x:v>
      </x:c>
      <x:c r="C5" s="99" t="n">
        <x:v>4</x:v>
      </x:c>
      <x:c r="D5" s="99" t="str">
        <x:v>act</x:v>
      </x:c>
      <x:c r="E5" s="99" t="str">
        <x:v>/ækt/</x:v>
      </x:c>
      <x:c r="F5" s="99" t="str">
        <x:v>(戏剧、歌剧或芭蕾舞的)一幕</x:v>
      </x:c>
      <x:c r="G5" s="99" t="str">
        <x:v>4. act /ækt/ (戏剧、歌剧或芭蕾舞的)一幕</x:v>
      </x:c>
    </x:row>
    <x:row r="6" ht="18" customHeight="1">
      <x:c r="A6" s="99" t="str">
        <x:v>A</x:v>
      </x:c>
      <x:c r="B6" s="99" t="str">
        <x:v>名词</x:v>
      </x:c>
      <x:c r="C6" s="99" t="n">
        <x:v>5</x:v>
      </x:c>
      <x:c r="D6" s="99" t="str">
        <x:v>actress</x:v>
      </x:c>
      <x:c r="E6" s="99" t="str">
        <x:v>/ˈæktrəs/</x:v>
      </x:c>
      <x:c r="F6" s="99" t="str">
        <x:v>女演员</x:v>
      </x:c>
      <x:c r="G6" s="99" t="str">
        <x:v>5. actress /ˈæktrəs/ 女演员</x:v>
      </x:c>
    </x:row>
    <x:row r="7" ht="18" customHeight="1">
      <x:c r="A7" s="99" t="str">
        <x:v>A</x:v>
      </x:c>
      <x:c r="B7" s="99" t="str">
        <x:v>名词</x:v>
      </x:c>
      <x:c r="C7" s="99" t="n">
        <x:v>6</x:v>
      </x:c>
      <x:c r="D7" s="99" t="str">
        <x:v>advice</x:v>
      </x:c>
      <x:c r="E7" s="99" t="str">
        <x:v>/ədˈvaɪs/</x:v>
      </x:c>
      <x:c r="F7" s="99" t="str">
        <x:v>意见；建议</x:v>
      </x:c>
      <x:c r="G7" s="99" t="str">
        <x:v>6. advice /ədˈvaɪs/ 意见；建议</x:v>
      </x:c>
    </x:row>
    <x:row r="8" ht="18" customHeight="1">
      <x:c r="A8" s="99" t="str">
        <x:v>A</x:v>
      </x:c>
      <x:c r="B8" s="99" t="str">
        <x:v>名词</x:v>
      </x:c>
      <x:c r="C8" s="99" t="n">
        <x:v>7</x:v>
      </x:c>
      <x:c r="D8" s="99" t="str">
        <x:v>aid</x:v>
      </x:c>
      <x:c r="E8" s="99" t="str">
        <x:v>/eɪd/</x:v>
      </x:c>
      <x:c r="F8" s="99" t="str">
        <x:v>救助；帮助</x:v>
      </x:c>
      <x:c r="G8" s="99" t="str">
        <x:v>7. aid /eɪd/ 救助；帮助</x:v>
      </x:c>
    </x:row>
    <x:row r="9" ht="18" customHeight="1">
      <x:c r="A9" s="99" t="str">
        <x:v>A</x:v>
      </x:c>
      <x:c r="B9" s="99" t="str">
        <x:v>名词</x:v>
      </x:c>
      <x:c r="C9" s="99" t="n">
        <x:v>8</x:v>
      </x:c>
      <x:c r="D9" s="99" t="str">
        <x:v>air</x:v>
      </x:c>
      <x:c r="E9" s="99" t="str">
        <x:v>/eə/</x:v>
      </x:c>
      <x:c r="F9" s="99" t="str">
        <x:v>天空；空中；空气</x:v>
      </x:c>
      <x:c r="G9" s="99" t="str">
        <x:v>8. air /eə/ 天空；空中；空气</x:v>
      </x:c>
    </x:row>
    <x:row r="10" ht="18" customHeight="1">
      <x:c r="A10" s="99" t="str">
        <x:v>A</x:v>
      </x:c>
      <x:c r="B10" s="99" t="str">
        <x:v>名词</x:v>
      </x:c>
      <x:c r="C10" s="99" t="n">
        <x:v>9</x:v>
      </x:c>
      <x:c r="D10" s="99" t="str">
        <x:v>airport</x:v>
      </x:c>
      <x:c r="E10" s="99" t="str">
        <x:v>/ˈeəpɔːt/</x:v>
      </x:c>
      <x:c r="F10" s="99" t="str">
        <x:v>机场；航空港</x:v>
      </x:c>
      <x:c r="G10" s="99" t="str">
        <x:v>9. airport /ˈeəpɔːt/ 机场；航空港</x:v>
      </x:c>
    </x:row>
    <x:row r="11" ht="18" customHeight="1">
      <x:c r="A11" s="99" t="str">
        <x:v>A</x:v>
      </x:c>
      <x:c r="B11" s="99" t="str">
        <x:v>名词</x:v>
      </x:c>
      <x:c r="C11" s="99" t="n">
        <x:v>10</x:v>
      </x:c>
      <x:c r="D11" s="99" t="str">
        <x:v>Africa</x:v>
      </x:c>
      <x:c r="E11" s="99" t="str">
        <x:v>/ˈæfrɪkə/</x:v>
      </x:c>
      <x:c r="F11" s="99" t="str">
        <x:v>非洲</x:v>
      </x:c>
      <x:c r="G11" s="99" t="str">
        <x:v>10. Africa /ˈæfrɪkə/ 非洲</x:v>
      </x:c>
    </x:row>
    <x:row r="12" ht="18" customHeight="1">
      <x:c r="A12" s="99" t="str">
        <x:v>A</x:v>
      </x:c>
      <x:c r="B12" s="99" t="str">
        <x:v>名词</x:v>
      </x:c>
      <x:c r="C12" s="99" t="n">
        <x:v>11</x:v>
      </x:c>
      <x:c r="D12" s="99" t="str">
        <x:v>African</x:v>
      </x:c>
      <x:c r="E12" s="99" t="str">
        <x:v>/ˈæfrɪkən/</x:v>
      </x:c>
      <x:c r="F12" s="99" t="str">
        <x:v>非洲人</x:v>
      </x:c>
      <x:c r="G12" s="99" t="str">
        <x:v>11. African /ˈæfrɪkən/ 非洲人</x:v>
      </x:c>
    </x:row>
    <x:row r="13" ht="18" customHeight="1">
      <x:c r="A13" s="99" t="str">
        <x:v>A</x:v>
      </x:c>
      <x:c r="B13" s="99" t="str">
        <x:v>名词</x:v>
      </x:c>
      <x:c r="C13" s="99" t="n">
        <x:v>12</x:v>
      </x:c>
      <x:c r="D13" s="99" t="str">
        <x:v>America</x:v>
      </x:c>
      <x:c r="E13" s="99" t="str">
        <x:v>/əˈmerɪkə/</x:v>
      </x:c>
      <x:c r="F13" s="99" t="str">
        <x:v>美国；美洲</x:v>
      </x:c>
      <x:c r="G13" s="99" t="str">
        <x:v>12. America /əˈmerɪkə/ 美国；美洲</x:v>
      </x:c>
    </x:row>
    <x:row r="14" ht="18" customHeight="1">
      <x:c r="A14" s="99" t="str">
        <x:v>A</x:v>
      </x:c>
      <x:c r="B14" s="99" t="str">
        <x:v>名词</x:v>
      </x:c>
      <x:c r="C14" s="99" t="n">
        <x:v>13</x:v>
      </x:c>
      <x:c r="D14" s="99" t="str">
        <x:v>American</x:v>
      </x:c>
      <x:c r="E14" s="99" t="str">
        <x:v>/əˈmerɪkən/</x:v>
      </x:c>
      <x:c r="F14" s="99" t="str">
        <x:v>美国人；美洲人</x:v>
      </x:c>
      <x:c r="G14" s="99" t="str">
        <x:v>13. American /əˈmerɪkən/ 美国人；美洲人</x:v>
      </x:c>
    </x:row>
    <x:row r="15" ht="18" customHeight="1">
      <x:c r="A15" s="99" t="str">
        <x:v>A</x:v>
      </x:c>
      <x:c r="B15" s="99" t="str">
        <x:v>名词</x:v>
      </x:c>
      <x:c r="C15" s="99" t="n">
        <x:v>14</x:v>
      </x:c>
      <x:c r="D15" s="99" t="str">
        <x:v>animal</x:v>
      </x:c>
      <x:c r="E15" s="99" t="str">
        <x:v>/ˈænɪml/</x:v>
      </x:c>
      <x:c r="F15" s="99" t="str">
        <x:v>动物</x:v>
      </x:c>
      <x:c r="G15" s="99" t="str">
        <x:v>14. animal /ˈænɪml/ 动物</x:v>
      </x:c>
    </x:row>
    <x:row r="16" ht="18" customHeight="1">
      <x:c r="A16" s="99" t="str">
        <x:v>A</x:v>
      </x:c>
      <x:c r="B16" s="99" t="str">
        <x:v>名词</x:v>
      </x:c>
      <x:c r="C16" s="99" t="n">
        <x:v>15</x:v>
      </x:c>
      <x:c r="D16" s="99" t="str">
        <x:v>answer</x:v>
      </x:c>
      <x:c r="E16" s="99" t="str">
        <x:v>/ˈɑːnsə/</x:v>
      </x:c>
      <x:c r="F16" s="99" t="str">
        <x:v>回答</x:v>
      </x:c>
      <x:c r="G16" s="99" t="str">
        <x:v>15. answer /ˈɑːnsə/ 回答</x:v>
      </x:c>
    </x:row>
    <x:row r="17" ht="18" customHeight="1">
      <x:c r="A17" s="99" t="str">
        <x:v>A</x:v>
      </x:c>
      <x:c r="B17" s="99" t="str">
        <x:v>名词</x:v>
      </x:c>
      <x:c r="C17" s="99" t="n">
        <x:v>16</x:v>
      </x:c>
      <x:c r="D17" s="99" t="str">
        <x:v>April</x:v>
      </x:c>
      <x:c r="E17" s="99" t="str">
        <x:v>/ˈeɪprəl/</x:v>
      </x:c>
      <x:c r="F17" s="99" t="str">
        <x:v>4月</x:v>
      </x:c>
      <x:c r="G17" s="99" t="str">
        <x:v>16. April /ˈeɪprəl/ 4月</x:v>
      </x:c>
    </x:row>
    <x:row r="18" ht="18" customHeight="1">
      <x:c r="A18" s="99" t="str">
        <x:v>A</x:v>
      </x:c>
      <x:c r="B18" s="99" t="str">
        <x:v>名词</x:v>
      </x:c>
      <x:c r="C18" s="99" t="n">
        <x:v>17</x:v>
      </x:c>
      <x:c r="D18" s="99" t="str">
        <x:v>Arabic</x:v>
      </x:c>
      <x:c r="E18" s="99" t="str">
        <x:v>/ˈærəbɪk/</x:v>
      </x:c>
      <x:c r="F18" s="99" t="str">
        <x:v>阿拉伯语</x:v>
      </x:c>
      <x:c r="G18" s="99" t="str">
        <x:v>17. Arabic /ˈærəbɪk/ 阿拉伯语</x:v>
      </x:c>
    </x:row>
    <x:row r="19" ht="18" customHeight="1">
      <x:c r="A19" s="99" t="str">
        <x:v>A</x:v>
      </x:c>
      <x:c r="B19" s="99" t="str">
        <x:v>名词</x:v>
      </x:c>
      <x:c r="C19" s="99" t="n">
        <x:v>18</x:v>
      </x:c>
      <x:c r="D19" s="99" t="str">
        <x:v>area</x:v>
      </x:c>
      <x:c r="E19" s="99" t="str">
        <x:v>/ˈeəriə/</x:v>
      </x:c>
      <x:c r="F19" s="99" t="str">
        <x:v>地区；区域</x:v>
      </x:c>
      <x:c r="G19" s="99" t="str">
        <x:v>18. area /ˈeəriə/ 地区；区域</x:v>
      </x:c>
    </x:row>
    <x:row r="20" ht="18" customHeight="1">
      <x:c r="A20" s="99" t="str">
        <x:v>A</x:v>
      </x:c>
      <x:c r="B20" s="99" t="str">
        <x:v>名词</x:v>
      </x:c>
      <x:c r="C20" s="99" t="n">
        <x:v>19</x:v>
      </x:c>
      <x:c r="D20" s="99" t="str">
        <x:v>arm</x:v>
      </x:c>
      <x:c r="E20" s="99" t="str">
        <x:v>/ɑːm/</x:v>
      </x:c>
      <x:c r="F20" s="99" t="str">
        <x:v>臂；手臂</x:v>
      </x:c>
      <x:c r="G20" s="99" t="str">
        <x:v>19. arm /ɑːm/ 臂；手臂</x:v>
      </x:c>
    </x:row>
    <x:row r="21" ht="18" customHeight="1">
      <x:c r="A21" s="99" t="str">
        <x:v>A</x:v>
      </x:c>
      <x:c r="B21" s="99" t="str">
        <x:v>名词</x:v>
      </x:c>
      <x:c r="C21" s="99" t="n">
        <x:v>20</x:v>
      </x:c>
      <x:c r="D21" s="99" t="str">
        <x:v>art</x:v>
      </x:c>
      <x:c r="E21" s="99" t="str">
        <x:v>/ɑːt/</x:v>
      </x:c>
      <x:c r="F21" s="99" t="str">
        <x:v>美术；艺术</x:v>
      </x:c>
      <x:c r="G21" s="99" t="str">
        <x:v>20. art /ɑːt/ 美术；艺术</x:v>
      </x:c>
    </x:row>
    <x:row r="22" ht="18" customHeight="1">
      <x:c r="A22" s="99" t="str">
        <x:v>A</x:v>
      </x:c>
      <x:c r="B22" s="99" t="str">
        <x:v>名词</x:v>
      </x:c>
      <x:c r="C22" s="99" t="n">
        <x:v>21</x:v>
      </x:c>
      <x:c r="D22" s="99" t="str">
        <x:v>article</x:v>
      </x:c>
      <x:c r="E22" s="99" t="str">
        <x:v>/ˈɑːtɪkl/</x:v>
      </x:c>
      <x:c r="F22" s="99" t="str">
        <x:v>文章；报道</x:v>
      </x:c>
      <x:c r="G22" s="99" t="str">
        <x:v>21. article /ˈɑːtɪkl/ 文章；报道</x:v>
      </x:c>
    </x:row>
    <x:row r="23" ht="18" customHeight="1">
      <x:c r="A23" s="99" t="str">
        <x:v>A</x:v>
      </x:c>
      <x:c r="B23" s="99" t="str">
        <x:v>名词</x:v>
      </x:c>
      <x:c r="C23" s="99" t="n">
        <x:v>22</x:v>
      </x:c>
      <x:c r="D23" s="99" t="str">
        <x:v>artist</x:v>
      </x:c>
      <x:c r="E23" s="99" t="str">
        <x:v>/ˈɑːtɪst/</x:v>
      </x:c>
      <x:c r="F23" s="99" t="str">
        <x:v>艺术家；画家</x:v>
      </x:c>
      <x:c r="G23" s="99" t="str">
        <x:v>22. artist /ˈɑːtɪst/ 艺术家；画家</x:v>
      </x:c>
    </x:row>
    <x:row r="24" ht="18" customHeight="1">
      <x:c r="A24" s="99" t="str">
        <x:v>A</x:v>
      </x:c>
      <x:c r="B24" s="99" t="str">
        <x:v>名词</x:v>
      </x:c>
      <x:c r="C24" s="99" t="n">
        <x:v>23</x:v>
      </x:c>
      <x:c r="D24" s="99" t="str">
        <x:v>Asia</x:v>
      </x:c>
      <x:c r="E24" s="99" t="str">
        <x:v>/ˈeɪʃə/</x:v>
      </x:c>
      <x:c r="F24" s="99" t="str">
        <x:v>亚洲</x:v>
      </x:c>
      <x:c r="G24" s="99" t="str">
        <x:v>23. Asia /ˈeɪʃə/ 亚洲</x:v>
      </x:c>
    </x:row>
    <x:row r="25" ht="18" customHeight="1">
      <x:c r="A25" s="99" t="str">
        <x:v>A</x:v>
      </x:c>
      <x:c r="B25" s="99" t="str">
        <x:v>名词</x:v>
      </x:c>
      <x:c r="C25" s="99" t="n">
        <x:v>24</x:v>
      </x:c>
      <x:c r="D25" s="99" t="str">
        <x:v>astronaut</x:v>
      </x:c>
      <x:c r="E25" s="99" t="str">
        <x:v>/ˈæstrənɔːt/</x:v>
      </x:c>
      <x:c r="F25" s="99" t="str">
        <x:v>宇航员</x:v>
      </x:c>
      <x:c r="G25" s="99" t="str">
        <x:v>24. astronaut /ˈæstrənɔːt/ 宇航员</x:v>
      </x:c>
    </x:row>
    <x:row r="26" ht="18" customHeight="1">
      <x:c r="A26" s="99" t="str">
        <x:v>A</x:v>
      </x:c>
      <x:c r="B26" s="99" t="str">
        <x:v>名词</x:v>
      </x:c>
      <x:c r="C26" s="99" t="n">
        <x:v>25</x:v>
      </x:c>
      <x:c r="D26" s="99" t="str">
        <x:v>attention</x:v>
      </x:c>
      <x:c r="E26" s="99" t="str">
        <x:v>/əˈtenʃn/</x:v>
      </x:c>
      <x:c r="F26" s="99" t="str">
        <x:v>注意力</x:v>
      </x:c>
      <x:c r="G26" s="99" t="str">
        <x:v>25. attention /əˈtenʃn/ 注意力</x:v>
      </x:c>
    </x:row>
    <x:row r="27" ht="18" customHeight="1">
      <x:c r="A27" s="99" t="str">
        <x:v>A</x:v>
      </x:c>
      <x:c r="B27" s="99" t="str">
        <x:v>名词</x:v>
      </x:c>
      <x:c r="C27" s="99" t="n">
        <x:v>26</x:v>
      </x:c>
      <x:c r="D27" s="99" t="str">
        <x:v>August</x:v>
      </x:c>
      <x:c r="E27" s="99" t="str">
        <x:v>/ˈɔːɡəst/</x:v>
      </x:c>
      <x:c r="F27" s="99" t="str">
        <x:v>8月</x:v>
      </x:c>
      <x:c r="G27" s="99" t="str">
        <x:v>26. August /ˈɔːɡəst/ 8月</x:v>
      </x:c>
    </x:row>
    <x:row r="28" ht="18" customHeight="1">
      <x:c r="A28" s="99" t="str">
        <x:v>A</x:v>
      </x:c>
      <x:c r="B28" s="99" t="str">
        <x:v>名词</x:v>
      </x:c>
      <x:c r="C28" s="99" t="n">
        <x:v>27</x:v>
      </x:c>
      <x:c r="D28" s="99" t="str">
        <x:v>Australia</x:v>
      </x:c>
      <x:c r="E28" s="99" t="str">
        <x:v>/ɒˈstreɪliə/</x:v>
      </x:c>
      <x:c r="F28" s="99" t="str">
        <x:v>澳大利亚</x:v>
      </x:c>
      <x:c r="G28" s="99" t="str">
        <x:v>27. Australia /ɒˈstreɪliə/ 澳大利亚</x:v>
      </x:c>
    </x:row>
    <x:row r="29" ht="18" customHeight="1">
      <x:c r="A29" s="99" t="str">
        <x:v>A</x:v>
      </x:c>
      <x:c r="B29" s="99" t="str">
        <x:v>名词</x:v>
      </x:c>
      <x:c r="C29" s="99" t="n">
        <x:v>28</x:v>
      </x:c>
      <x:c r="D29" s="99" t="str">
        <x:v>autumn</x:v>
      </x:c>
      <x:c r="E29" s="99" t="str">
        <x:v>/ˈɔːtəm/</x:v>
      </x:c>
      <x:c r="F29" s="99" t="str">
        <x:v>秋天</x:v>
      </x:c>
      <x:c r="G29" s="99" t="str">
        <x:v>28. autumn /ˈɔːtəm/ 秋天</x:v>
      </x:c>
    </x:row>
    <x:row r="30" ht="18" customHeight="1">
      <x:c r="A30" s="99" t="str">
        <x:v>A</x:v>
      </x:c>
      <x:c r="B30" s="99" t="str">
        <x:v>名词</x:v>
      </x:c>
      <x:c r="C30" s="99" t="n">
        <x:v>29</x:v>
      </x:c>
      <x:c r="D30" s="99" t="str">
        <x:v>advantage</x:v>
      </x:c>
      <x:c r="E30" s="99" t="str">
        <x:v>/ədˈvɑːntɪdʒ/</x:v>
      </x:c>
      <x:c r="F30" s="99" t="str">
        <x:v>有利条件；优势</x:v>
      </x:c>
      <x:c r="G30" s="99" t="str">
        <x:v>29. advantage /ədˈvɑːntɪdʒ/ 有利条件；优势</x:v>
      </x:c>
    </x:row>
    <x:row r="31" ht="18" customHeight="1">
      <x:c r="A31" s="99" t="str">
        <x:v>A</x:v>
      </x:c>
      <x:c r="B31" s="99" t="str">
        <x:v>名词</x:v>
      </x:c>
      <x:c r="C31" s="99" t="n">
        <x:v>30</x:v>
      </x:c>
      <x:c r="D31" s="99" t="str">
        <x:v>afternoon</x:v>
      </x:c>
      <x:c r="E31" s="99" t="str">
        <x:v>/ˌɑːftəˈnuːn/</x:v>
      </x:c>
      <x:c r="F31" s="99" t="str">
        <x:v>下午</x:v>
      </x:c>
      <x:c r="G31" s="99" t="str">
        <x:v>30. afternoon /ˌɑːftəˈnuːn/ 下午</x:v>
      </x:c>
    </x:row>
    <x:row r="32" ht="18" customHeight="1">
      <x:c r="A32" s="99" t="str">
        <x:v>A</x:v>
      </x:c>
      <x:c r="B32" s="99" t="str">
        <x:v>动词</x:v>
      </x:c>
      <x:c r="C32" s="99" t="n">
        <x:v>1</x:v>
      </x:c>
      <x:c r="D32" s="99" t="str">
        <x:v>accept</x:v>
      </x:c>
      <x:c r="E32" s="99" t="str">
        <x:v>/əkˈsept/</x:v>
      </x:c>
      <x:c r="F32" s="99" t="str">
        <x:v>收受；接受</x:v>
      </x:c>
      <x:c r="G32" s="99" t="str">
        <x:v>1. accept /əkˈsept/ 收受；接受</x:v>
      </x:c>
    </x:row>
    <x:row r="33" ht="18" customHeight="1">
      <x:c r="A33" s="99" t="str">
        <x:v>A</x:v>
      </x:c>
      <x:c r="B33" s="99" t="str">
        <x:v>动词</x:v>
      </x:c>
      <x:c r="C33" s="99" t="n">
        <x:v>2</x:v>
      </x:c>
      <x:c r="D33" s="99" t="str">
        <x:v>afford</x:v>
      </x:c>
      <x:c r="E33" s="99" t="str">
        <x:v>/əˈfɔːd/</x:v>
      </x:c>
      <x:c r="F33" s="99" t="str">
        <x:v>(有财力)买得起，付得起</x:v>
      </x:c>
      <x:c r="G33" s="99" t="str">
        <x:v>2. afford /əˈfɔːd/ (有财力)买得起，付得起</x:v>
      </x:c>
    </x:row>
    <x:row r="34" ht="18" customHeight="1">
      <x:c r="A34" s="99" t="str">
        <x:v>A</x:v>
      </x:c>
      <x:c r="B34" s="99" t="str">
        <x:v>动词</x:v>
      </x:c>
      <x:c r="C34" s="99" t="n">
        <x:v>3</x:v>
      </x:c>
      <x:c r="D34" s="99" t="str">
        <x:v>advise</x:v>
      </x:c>
      <x:c r="E34" s="99" t="str">
        <x:v>/ədˈvaɪz/</x:v>
      </x:c>
      <x:c r="F34" s="99" t="str">
        <x:v>向……提出意见；忠告；建议</x:v>
      </x:c>
      <x:c r="G34" s="99" t="str">
        <x:v>3. advise /ədˈvaɪz/ 向……提出意见；忠告；建议</x:v>
      </x:c>
    </x:row>
    <x:row r="35" ht="18" customHeight="1">
      <x:c r="A35" s="99" t="str">
        <x:v>A</x:v>
      </x:c>
      <x:c r="B35" s="99" t="str">
        <x:v>动词</x:v>
      </x:c>
      <x:c r="C35" s="99" t="n">
        <x:v>4</x:v>
      </x:c>
      <x:c r="D35" s="99" t="str">
        <x:v>agree</x:v>
      </x:c>
      <x:c r="E35" s="99" t="str">
        <x:v>/əˈɡriː/</x:v>
      </x:c>
      <x:c r="F35" s="99" t="str">
        <x:v>赞同</x:v>
      </x:c>
      <x:c r="G35" s="99" t="str">
        <x:v>4. agree /əˈɡriː/ 赞同</x:v>
      </x:c>
    </x:row>
    <x:row r="36" ht="18" customHeight="1">
      <x:c r="A36" s="99" t="str">
        <x:v>A</x:v>
      </x:c>
      <x:c r="B36" s="99" t="str">
        <x:v>动词</x:v>
      </x:c>
      <x:c r="C36" s="99" t="n">
        <x:v>5</x:v>
      </x:c>
      <x:c r="D36" s="99" t="str">
        <x:v>allow</x:v>
      </x:c>
      <x:c r="E36" s="99" t="str">
        <x:v>/əˈlaʊ/</x:v>
      </x:c>
      <x:c r="F36" s="99" t="str">
        <x:v>允许；准许</x:v>
      </x:c>
      <x:c r="G36" s="99" t="str">
        <x:v>5. allow /əˈlaʊ/ 允许；准许</x:v>
      </x:c>
    </x:row>
    <x:row r="37" ht="18" customHeight="1">
      <x:c r="A37" s="99" t="str">
        <x:v>A</x:v>
      </x:c>
      <x:c r="B37" s="99" t="str">
        <x:v>动词</x:v>
      </x:c>
      <x:c r="C37" s="99" t="n">
        <x:v>6</x:v>
      </x:c>
      <x:c r="D37" s="99" t="str">
        <x:v>appear</x:v>
      </x:c>
      <x:c r="E37" s="99" t="str">
        <x:v>/əˈpɪə/</x:v>
      </x:c>
      <x:c r="F37" s="99" t="str">
        <x:v>出现；显露</x:v>
      </x:c>
      <x:c r="G37" s="99" t="str">
        <x:v>6. appear /əˈpɪə/ 出现；显露</x:v>
      </x:c>
    </x:row>
    <x:row r="38" ht="18" customHeight="1">
      <x:c r="A38" s="99" t="str">
        <x:v>A</x:v>
      </x:c>
      <x:c r="B38" s="99" t="str">
        <x:v>动词</x:v>
      </x:c>
      <x:c r="C38" s="99" t="n">
        <x:v>7</x:v>
      </x:c>
      <x:c r="D38" s="99" t="str">
        <x:v>arrive</x:v>
      </x:c>
      <x:c r="E38" s="99" t="str">
        <x:v>/əˈraɪv/</x:v>
      </x:c>
      <x:c r="F38" s="99" t="str">
        <x:v>到达</x:v>
      </x:c>
      <x:c r="G38" s="99" t="str">
        <x:v>7. arrive /əˈraɪv/ 到达</x:v>
      </x:c>
    </x:row>
    <x:row r="39" ht="18" customHeight="1">
      <x:c r="A39" s="99" t="str">
        <x:v>A</x:v>
      </x:c>
      <x:c r="B39" s="99" t="str">
        <x:v>动词</x:v>
      </x:c>
      <x:c r="C39" s="99" t="n">
        <x:v>8</x:v>
      </x:c>
      <x:c r="D39" s="99" t="str">
        <x:v>ask</x:v>
      </x:c>
      <x:c r="E39" s="99" t="str">
        <x:v>/ɑːsk/</x:v>
      </x:c>
      <x:c r="F39" s="99" t="str">
        <x:v>询问；问</x:v>
      </x:c>
      <x:c r="G39" s="99" t="str">
        <x:v>8. ask /ɑːsk/ 询问；问</x:v>
      </x:c>
    </x:row>
    <x:row r="40" ht="18" customHeight="1">
      <x:c r="A40" s="99" t="str">
        <x:v>A</x:v>
      </x:c>
      <x:c r="B40" s="99" t="str">
        <x:v>动词</x:v>
      </x:c>
      <x:c r="C40" s="99" t="n">
        <x:v>9</x:v>
      </x:c>
      <x:c r="D40" s="99" t="str">
        <x:v>avoid</x:v>
      </x:c>
      <x:c r="E40" s="99" t="str">
        <x:v>/əˈvɔɪd/</x:v>
      </x:c>
      <x:c r="F40" s="99" t="str">
        <x:v>避免；防止</x:v>
      </x:c>
      <x:c r="G40" s="99" t="str">
        <x:v>9. avoid /əˈvɔɪd/ 避免；防止</x:v>
      </x:c>
    </x:row>
    <x:row r="41" ht="18" customHeight="1">
      <x:c r="A41" s="99" t="str">
        <x:v>A</x:v>
      </x:c>
      <x:c r="B41" s="99" t="str">
        <x:v>动词</x:v>
      </x:c>
      <x:c r="C41" s="99" t="n">
        <x:v>10</x:v>
      </x:c>
      <x:c r="D41" s="99" t="str">
        <x:v>answer</x:v>
      </x:c>
      <x:c r="E41" s="99" t="str">
        <x:v>/ˈɑːnsə/</x:v>
      </x:c>
      <x:c r="F41" s="99" t="str">
        <x:v>应门；回答</x:v>
      </x:c>
      <x:c r="G41" s="99" t="str">
        <x:v>10. answer /ˈɑːnsə/ 应门；回答</x:v>
      </x:c>
    </x:row>
    <x:row r="42" ht="18" customHeight="1">
      <x:c r="A42" s="99" t="str">
        <x:v>A</x:v>
      </x:c>
      <x:c r="B42" s="99" t="str">
        <x:v>形容词</x:v>
      </x:c>
      <x:c r="C42" s="99" t="n">
        <x:v>1</x:v>
      </x:c>
      <x:c r="D42" s="99" t="str">
        <x:v>able</x:v>
      </x:c>
      <x:c r="E42" s="99" t="str">
        <x:v>/ˈeɪbl/</x:v>
      </x:c>
      <x:c r="F42" s="99" t="str">
        <x:v>能够……的</x:v>
      </x:c>
      <x:c r="G42" s="99" t="str">
        <x:v>1. able /ˈeɪbl/ 能够……的</x:v>
      </x:c>
    </x:row>
    <x:row r="43" ht="18" customHeight="1">
      <x:c r="A43" s="99" t="str">
        <x:v>A</x:v>
      </x:c>
      <x:c r="B43" s="99" t="str">
        <x:v>形容词</x:v>
      </x:c>
      <x:c r="C43" s="99" t="n">
        <x:v>2</x:v>
      </x:c>
      <x:c r="D43" s="99" t="str">
        <x:v>active</x:v>
      </x:c>
      <x:c r="E43" s="99" t="str">
        <x:v>/ˈæktɪv/</x:v>
      </x:c>
      <x:c r="F43" s="99" t="str">
        <x:v>积极的；活跃的</x:v>
      </x:c>
      <x:c r="G43" s="99" t="str">
        <x:v>2. active /ˈæktɪv/ 积极的；活跃的</x:v>
      </x:c>
    </x:row>
    <x:row r="44" ht="18" customHeight="1">
      <x:c r="A44" s="99" t="str">
        <x:v>A</x:v>
      </x:c>
      <x:c r="B44" s="99" t="str">
        <x:v>形容词</x:v>
      </x:c>
      <x:c r="C44" s="99" t="n">
        <x:v>3</x:v>
      </x:c>
      <x:c r="D44" s="99" t="str">
        <x:v>afraid</x:v>
      </x:c>
      <x:c r="E44" s="99" t="str">
        <x:v>/əˈfreɪd/</x:v>
      </x:c>
      <x:c r="F44" s="99" t="str">
        <x:v>担心的；害怕的</x:v>
      </x:c>
      <x:c r="G44" s="99" t="str">
        <x:v>3. afraid /əˈfreɪd/ 担心的；害怕的</x:v>
      </x:c>
    </x:row>
    <x:row r="45" ht="18" customHeight="1">
      <x:c r="A45" s="99" t="str">
        <x:v>A</x:v>
      </x:c>
      <x:c r="B45" s="99" t="str">
        <x:v>形容词</x:v>
      </x:c>
      <x:c r="C45" s="99" t="n">
        <x:v>4</x:v>
      </x:c>
      <x:c r="D45" s="99" t="str">
        <x:v>African</x:v>
      </x:c>
      <x:c r="E45" s="99" t="str">
        <x:v>/ˈæfrɪkən/</x:v>
      </x:c>
      <x:c r="F45" s="99" t="str">
        <x:v>非洲的</x:v>
      </x:c>
      <x:c r="G45" s="99" t="str">
        <x:v>4. African /ˈæfrɪkən/ 非洲的</x:v>
      </x:c>
    </x:row>
    <x:row r="46" ht="18" customHeight="1">
      <x:c r="A46" s="99" t="str">
        <x:v>A</x:v>
      </x:c>
      <x:c r="B46" s="99" t="str">
        <x:v>形容词</x:v>
      </x:c>
      <x:c r="C46" s="99" t="n">
        <x:v>5</x:v>
      </x:c>
      <x:c r="D46" s="99" t="str">
        <x:v>American</x:v>
      </x:c>
      <x:c r="E46" s="99" t="str">
        <x:v>/əˈmerɪkən/</x:v>
      </x:c>
      <x:c r="F46" s="99" t="str">
        <x:v>美国的；美洲的</x:v>
      </x:c>
      <x:c r="G46" s="99" t="str">
        <x:v>5. American /əˈmerɪkən/ 美国的；美洲的</x:v>
      </x:c>
    </x:row>
    <x:row r="47" ht="18" customHeight="1">
      <x:c r="A47" s="99" t="str">
        <x:v>A</x:v>
      </x:c>
      <x:c r="B47" s="99" t="str">
        <x:v>形容词</x:v>
      </x:c>
      <x:c r="C47" s="99" t="n">
        <x:v>6</x:v>
      </x:c>
      <x:c r="D47" s="99" t="str">
        <x:v>ancient</x:v>
      </x:c>
      <x:c r="E47" s="99" t="str">
        <x:v>/ˈeɪnʃənt/</x:v>
      </x:c>
      <x:c r="F47" s="99" t="str">
        <x:v>古老的；古代的</x:v>
      </x:c>
      <x:c r="G47" s="99" t="str">
        <x:v>6. ancient /ˈeɪnʃənt/ 古老的；古代的</x:v>
      </x:c>
    </x:row>
    <x:row r="48" ht="18" customHeight="1">
      <x:c r="A48" s="99" t="str">
        <x:v>A</x:v>
      </x:c>
      <x:c r="B48" s="99" t="str">
        <x:v>形容词</x:v>
      </x:c>
      <x:c r="C48" s="99" t="n">
        <x:v>7</x:v>
      </x:c>
      <x:c r="D48" s="99" t="str">
        <x:v>any</x:v>
      </x:c>
      <x:c r="E48" s="99" t="str">
        <x:v>/ˈeni/</x:v>
      </x:c>
      <x:c r="F48" s="99" t="str">
        <x:v>任何一个；一些</x:v>
      </x:c>
      <x:c r="G48" s="99" t="str">
        <x:v>7. any /ˈeni/ 任何一个；一些</x:v>
      </x:c>
    </x:row>
    <x:row r="49" ht="18" customHeight="1">
      <x:c r="A49" s="99" t="str">
        <x:v>A</x:v>
      </x:c>
      <x:c r="B49" s="99" t="str">
        <x:v>形容词</x:v>
      </x:c>
      <x:c r="C49" s="99" t="n">
        <x:v>8</x:v>
      </x:c>
      <x:c r="D49" s="99" t="str">
        <x:v>asleep</x:v>
      </x:c>
      <x:c r="E49" s="99" t="str">
        <x:v>/əˈsliːp/</x:v>
      </x:c>
      <x:c r="F49" s="99" t="str">
        <x:v>睡着的</x:v>
      </x:c>
      <x:c r="G49" s="99" t="str">
        <x:v>8. asleep /əˈsliːp/ 睡着的</x:v>
      </x:c>
    </x:row>
    <x:row r="50" ht="18" customHeight="1">
      <x:c r="A50" s="99" t="str">
        <x:v>A</x:v>
      </x:c>
      <x:c r="B50" s="99" t="str">
        <x:v>形容词</x:v>
      </x:c>
      <x:c r="C50" s="99" t="n">
        <x:v>9</x:v>
      </x:c>
      <x:c r="D50" s="99" t="str">
        <x:v>awful</x:v>
      </x:c>
      <x:c r="E50" s="99" t="str">
        <x:v>/ˈɔːfl/</x:v>
      </x:c>
      <x:c r="F50" s="99" t="str">
        <x:v>极讨厌的；极坏的</x:v>
      </x:c>
      <x:c r="G50" s="99" t="str">
        <x:v>9. awful /ˈɔːfl/ 极讨厌的；极坏的</x:v>
      </x:c>
    </x:row>
    <x:row r="51" ht="18" customHeight="1">
      <x:c r="A51" s="99" t="str">
        <x:v>A</x:v>
      </x:c>
      <x:c r="B51" s="99" t="str">
        <x:v>形容词</x:v>
      </x:c>
      <x:c r="C51" s="99" t="n">
        <x:v>10</x:v>
      </x:c>
      <x:c r="D51" s="99" t="str">
        <x:v>Australian</x:v>
      </x:c>
      <x:c r="E51" s="99" t="str">
        <x:v>/ɒˈstreɪliən/</x:v>
      </x:c>
      <x:c r="F51" s="99" t="str">
        <x:v>澳大利亚的</x:v>
      </x:c>
      <x:c r="G51" s="99" t="str">
        <x:v>10. Australian /ɒˈstreɪliən/ 澳大利亚的</x:v>
      </x:c>
    </x:row>
    <x:row r="52" ht="18" customHeight="1">
      <x:c r="A52" s="99" t="str">
        <x:v>A</x:v>
      </x:c>
      <x:c r="B52" s="99" t="str">
        <x:v>形容词</x:v>
      </x:c>
      <x:c r="C52" s="99" t="n">
        <x:v>11</x:v>
      </x:c>
      <x:c r="D52" s="99" t="str">
        <x:v>after-school</x:v>
      </x:c>
      <x:c r="E52" s="99" t="str">
        <x:v>/ˈɑːftə skuːl/</x:v>
      </x:c>
      <x:c r="F52" s="99" t="str">
        <x:v>下午放学后的；课外的</x:v>
      </x:c>
      <x:c r="G52" s="99" t="str">
        <x:v>11. after-school /ˈɑːftə skuːl/ 下午放学后的；课外的</x:v>
      </x:c>
    </x:row>
    <x:row r="53" ht="18" customHeight="1">
      <x:c r="A53" s="99" t="str">
        <x:v>A</x:v>
      </x:c>
      <x:c r="B53" s="99" t="str">
        <x:v>副词</x:v>
      </x:c>
      <x:c r="C53" s="99" t="n">
        <x:v>1</x:v>
      </x:c>
      <x:c r="D53" s="99" t="str">
        <x:v>about</x:v>
      </x:c>
      <x:c r="E53" s="99" t="str">
        <x:v>/əˈbaʊt/</x:v>
      </x:c>
      <x:c r="F53" s="99" t="str">
        <x:v>大约，大致；向四周；向各处</x:v>
      </x:c>
      <x:c r="G53" s="99" t="str">
        <x:v>1. about /əˈbaʊt/ 大约，大致；向四周；向各处</x:v>
      </x:c>
    </x:row>
    <x:row r="54" ht="18" customHeight="1">
      <x:c r="A54" s="99" t="str">
        <x:v>A</x:v>
      </x:c>
      <x:c r="B54" s="99" t="str">
        <x:v>副词</x:v>
      </x:c>
      <x:c r="C54" s="99" t="n">
        <x:v>2</x:v>
      </x:c>
      <x:c r="D54" s="99" t="str">
        <x:v>above</x:v>
      </x:c>
      <x:c r="E54" s="99" t="str">
        <x:v>/əˈbʌv/</x:v>
      </x:c>
      <x:c r="F54" s="99" t="str">
        <x:v>在……上方（此处作副词时表示“在上面”，本词表主要作介词）</x:v>
      </x:c>
      <x:c r="G54" s="99" t="str">
        <x:v>2. above /əˈbʌv/ 在……上方（此处作副词时表示“在上面”，本词表主要作介词）</x:v>
      </x:c>
    </x:row>
    <x:row r="55" ht="18" customHeight="1">
      <x:c r="A55" s="99" t="str">
        <x:v>A</x:v>
      </x:c>
      <x:c r="B55" s="99" t="str">
        <x:v>副词</x:v>
      </x:c>
      <x:c r="C55" s="99" t="n">
        <x:v>3</x:v>
      </x:c>
      <x:c r="D55" s="99" t="str">
        <x:v>again</x:v>
      </x:c>
      <x:c r="E55" s="99" t="str">
        <x:v>/əˈɡen/</x:v>
      </x:c>
      <x:c r="F55" s="99" t="str">
        <x:v>再（次），又（一次）</x:v>
      </x:c>
      <x:c r="G55" s="99" t="str">
        <x:v>3. again /əˈɡen/ 再（次），又（一次）</x:v>
      </x:c>
    </x:row>
    <x:row r="56" ht="18" customHeight="1">
      <x:c r="A56" s="99" t="str">
        <x:v>A</x:v>
      </x:c>
      <x:c r="B56" s="99" t="str">
        <x:v>副词</x:v>
      </x:c>
      <x:c r="C56" s="99" t="n">
        <x:v>4</x:v>
      </x:c>
      <x:c r="D56" s="99" t="str">
        <x:v>aloud</x:v>
      </x:c>
      <x:c r="E56" s="99" t="str">
        <x:v>/əˈlaʊd/</x:v>
      </x:c>
      <x:c r="F56" s="99" t="str">
        <x:v>大声地；出声地</x:v>
      </x:c>
      <x:c r="G56" s="99" t="str">
        <x:v>4. aloud /əˈlaʊd/ 大声地；出声地</x:v>
      </x:c>
    </x:row>
    <x:row r="57" ht="18" customHeight="1">
      <x:c r="A57" s="99" t="str">
        <x:v>A</x:v>
      </x:c>
      <x:c r="B57" s="99" t="str">
        <x:v>副词</x:v>
      </x:c>
      <x:c r="C57" s="99" t="n">
        <x:v>5</x:v>
      </x:c>
      <x:c r="D57" s="99" t="str">
        <x:v>already</x:v>
      </x:c>
      <x:c r="E57" s="99" t="str">
        <x:v>/ɔːlˈredi/</x:v>
      </x:c>
      <x:c r="F57" s="99" t="str">
        <x:v>已经；早已</x:v>
      </x:c>
      <x:c r="G57" s="99" t="str">
        <x:v>5. already /ɔːlˈredi/ 已经；早已</x:v>
      </x:c>
    </x:row>
    <x:row r="58" ht="18" customHeight="1">
      <x:c r="A58" s="99" t="str">
        <x:v>A</x:v>
      </x:c>
      <x:c r="B58" s="99" t="str">
        <x:v>副词</x:v>
      </x:c>
      <x:c r="C58" s="99" t="n">
        <x:v>6</x:v>
      </x:c>
      <x:c r="D58" s="99" t="str">
        <x:v>also</x:v>
      </x:c>
      <x:c r="E58" s="99" t="str">
        <x:v>/ˈɔːlsəʊ/</x:v>
      </x:c>
      <x:c r="F58" s="99" t="str">
        <x:v>也；而且</x:v>
      </x:c>
      <x:c r="G58" s="99" t="str">
        <x:v>6. also /ˈɔːlsəʊ/ 也；而且</x:v>
      </x:c>
    </x:row>
    <x:row r="59" ht="18" customHeight="1">
      <x:c r="A59" s="99" t="str">
        <x:v>A</x:v>
      </x:c>
      <x:c r="B59" s="99" t="str">
        <x:v>副词</x:v>
      </x:c>
      <x:c r="C59" s="99" t="n">
        <x:v>7</x:v>
      </x:c>
      <x:c r="D59" s="99" t="str">
        <x:v>always</x:v>
      </x:c>
      <x:c r="E59" s="99" t="str">
        <x:v>/ˈɔːlweɪz/</x:v>
      </x:c>
      <x:c r="F59" s="99" t="str">
        <x:v>总是；一直</x:v>
      </x:c>
      <x:c r="G59" s="99" t="str">
        <x:v>7. always /ˈɔːlweɪz/ 总是；一直</x:v>
      </x:c>
    </x:row>
    <x:row r="60" ht="18" customHeight="1">
      <x:c r="A60" s="99" t="str">
        <x:v>A</x:v>
      </x:c>
      <x:c r="B60" s="99" t="str">
        <x:v>副词</x:v>
      </x:c>
      <x:c r="C60" s="99" t="n">
        <x:v>8</x:v>
      </x:c>
      <x:c r="D60" s="99" t="str">
        <x:v>ago</x:v>
      </x:c>
      <x:c r="E60" s="99" t="str">
        <x:v>/əˈɡəʊ/</x:v>
      </x:c>
      <x:c r="F60" s="99" t="str">
        <x:v>以前</x:v>
      </x:c>
      <x:c r="G60" s="99" t="str">
        <x:v>8. ago /əˈɡəʊ/ 以前</x:v>
      </x:c>
    </x:row>
    <x:row r="61" ht="18" customHeight="1">
      <x:c r="A61" s="99" t="str">
        <x:v>A</x:v>
      </x:c>
      <x:c r="B61" s="99" t="str">
        <x:v>副词</x:v>
      </x:c>
      <x:c r="C61" s="99" t="n">
        <x:v>9</x:v>
      </x:c>
      <x:c r="D61" s="99" t="str">
        <x:v>anyway</x:v>
      </x:c>
      <x:c r="E61" s="99" t="str">
        <x:v>/ˈeniweɪ/</x:v>
      </x:c>
      <x:c r="F61" s="99" t="str">
        <x:v>尽管如此；无论如何</x:v>
      </x:c>
      <x:c r="G61" s="99" t="str">
        <x:v>9. anyway /ˈeniweɪ/ 尽管如此；无论如何</x:v>
      </x:c>
    </x:row>
    <x:row r="62" ht="18" customHeight="1">
      <x:c r="A62" s="99" t="str">
        <x:v>A</x:v>
      </x:c>
      <x:c r="B62" s="99" t="str">
        <x:v>副词</x:v>
      </x:c>
      <x:c r="C62" s="99" t="n">
        <x:v>10</x:v>
      </x:c>
      <x:c r="D62" s="99" t="str">
        <x:v>anywhere</x:v>
      </x:c>
      <x:c r="E62" s="99" t="str">
        <x:v>/ˈeniweə/</x:v>
      </x:c>
      <x:c r="F62" s="99" t="str">
        <x:v>在任何地方；任何地方</x:v>
      </x:c>
      <x:c r="G62" s="99" t="str">
        <x:v>10. anywhere /ˈeniweə/ 在任何地方；任何地方</x:v>
      </x:c>
    </x:row>
    <x:row r="63" ht="18" customHeight="1">
      <x:c r="A63" s="99" t="str">
        <x:v>A</x:v>
      </x:c>
      <x:c r="B63" s="99" t="str">
        <x:v>副词</x:v>
      </x:c>
      <x:c r="C63" s="99" t="n">
        <x:v>11</x:v>
      </x:c>
      <x:c r="D63" s="99" t="str">
        <x:v>around</x:v>
      </x:c>
      <x:c r="E63" s="99" t="str">
        <x:v>/əˈraʊnd/</x:v>
      </x:c>
      <x:c r="F63" s="99" t="str">
        <x:v>到处；向各处</x:v>
      </x:c>
      <x:c r="G63" s="99" t="str">
        <x:v>11. around /əˈraʊnd/ 到处；向各处</x:v>
      </x:c>
    </x:row>
    <x:row r="64" ht="18" customHeight="1">
      <x:c r="A64" s="99" t="str">
        <x:v>A</x:v>
      </x:c>
      <x:c r="B64" s="99" t="str">
        <x:v>副词</x:v>
      </x:c>
      <x:c r="C64" s="99" t="n">
        <x:v>12</x:v>
      </x:c>
      <x:c r="D64" s="99" t="str">
        <x:v>away</x:v>
      </x:c>
      <x:c r="E64" s="99" t="str">
        <x:v>/əˈweɪ/</x:v>
      </x:c>
      <x:c r="F64" s="99" t="str">
        <x:v>在安全的地方；在通常存放的地方</x:v>
      </x:c>
      <x:c r="G64" s="99" t="str">
        <x:v>12. away /əˈweɪ/ 在安全的地方；在通常存放的地方</x:v>
      </x:c>
    </x:row>
    <x:row r="65" ht="18" customHeight="1">
      <x:c r="A65" s="99" t="str">
        <x:v>A</x:v>
      </x:c>
      <x:c r="B65" s="99" t="str">
        <x:v>副词</x:v>
      </x:c>
      <x:c r="C65" s="99" t="n">
        <x:v>13</x:v>
      </x:c>
      <x:c r="D65" s="99" t="str">
        <x:v>alone</x:v>
      </x:c>
      <x:c r="E65" s="99" t="str">
        <x:v>/əˈləʊn/</x:v>
      </x:c>
      <x:c r="F65" s="99" t="str">
        <x:v>独自地</x:v>
      </x:c>
      <x:c r="G65" s="99" t="str">
        <x:v>13. alone /əˈləʊn/ 独自地</x:v>
      </x:c>
    </x:row>
    <x:row r="66" ht="18" customHeight="1">
      <x:c r="A66" s="99" t="str">
        <x:v>A</x:v>
      </x:c>
      <x:c r="B66" s="99" t="str">
        <x:v>副词</x:v>
      </x:c>
      <x:c r="C66" s="99" t="n">
        <x:v>14</x:v>
      </x:c>
      <x:c r="D66" s="99" t="str">
        <x:v>almost</x:v>
      </x:c>
      <x:c r="E66" s="99" t="str">
        <x:v>/ˈɔːlməʊst/</x:v>
      </x:c>
      <x:c r="F66" s="99" t="str">
        <x:v>几乎；差不多</x:v>
      </x:c>
      <x:c r="G66" s="99" t="str">
        <x:v>14. almost /ˈɔːlməʊst/ 几乎；差不多</x:v>
      </x:c>
    </x:row>
    <x:row r="67" ht="18" customHeight="1">
      <x:c r="A67" s="99" t="str">
        <x:v>A</x:v>
      </x:c>
      <x:c r="B67" s="99" t="str">
        <x:v>介词</x:v>
      </x:c>
      <x:c r="C67" s="99" t="n">
        <x:v>1</x:v>
      </x:c>
      <x:c r="D67" s="99" t="str">
        <x:v>about</x:v>
      </x:c>
      <x:c r="E67" s="99" t="str">
        <x:v>/əˈbaʊt/</x:v>
      </x:c>
      <x:c r="F67" s="99" t="str">
        <x:v>关于</x:v>
      </x:c>
      <x:c r="G67" s="99" t="str">
        <x:v>1. about /əˈbaʊt/ 关于</x:v>
      </x:c>
    </x:row>
    <x:row r="68" ht="18" customHeight="1">
      <x:c r="A68" s="99" t="str">
        <x:v>A</x:v>
      </x:c>
      <x:c r="B68" s="99" t="str">
        <x:v>介词</x:v>
      </x:c>
      <x:c r="C68" s="99" t="n">
        <x:v>2</x:v>
      </x:c>
      <x:c r="D68" s="99" t="str">
        <x:v>above</x:v>
      </x:c>
      <x:c r="E68" s="99" t="str">
        <x:v>/əˈbʌv/</x:v>
      </x:c>
      <x:c r="F68" s="99" t="str">
        <x:v>在……上方；在……之上</x:v>
      </x:c>
      <x:c r="G68" s="99" t="str">
        <x:v>2. above /əˈbʌv/ 在……上方；在……之上</x:v>
      </x:c>
    </x:row>
    <x:row r="69" ht="18" customHeight="1">
      <x:c r="A69" s="99" t="str">
        <x:v>A</x:v>
      </x:c>
      <x:c r="B69" s="99" t="str">
        <x:v>介词</x:v>
      </x:c>
      <x:c r="C69" s="99" t="n">
        <x:v>3</x:v>
      </x:c>
      <x:c r="D69" s="99" t="str">
        <x:v>across</x:v>
      </x:c>
      <x:c r="E69" s="99" t="str">
        <x:v>/əˈkrɒs/</x:v>
      </x:c>
      <x:c r="F69" s="99" t="str">
        <x:v>越过</x:v>
      </x:c>
      <x:c r="G69" s="99" t="str">
        <x:v>3. across /əˈkrɒs/ 越过</x:v>
      </x:c>
    </x:row>
    <x:row r="70" ht="18" customHeight="1">
      <x:c r="A70" s="99" t="str">
        <x:v>A</x:v>
      </x:c>
      <x:c r="B70" s="99" t="str">
        <x:v>介词</x:v>
      </x:c>
      <x:c r="C70" s="99" t="n">
        <x:v>4</x:v>
      </x:c>
      <x:c r="D70" s="99" t="str">
        <x:v>after</x:v>
      </x:c>
      <x:c r="E70" s="99" t="str">
        <x:v>/ˈɑːftə(r)/</x:v>
      </x:c>
      <x:c r="F70" s="99" t="str">
        <x:v>在……后</x:v>
      </x:c>
      <x:c r="G70" s="99" t="str">
        <x:v>4. after /ˈɑːftə(r)/ 在……后</x:v>
      </x:c>
    </x:row>
    <x:row r="71" ht="18" customHeight="1">
      <x:c r="A71" s="99" t="str">
        <x:v>A</x:v>
      </x:c>
      <x:c r="B71" s="99" t="str">
        <x:v>介词</x:v>
      </x:c>
      <x:c r="C71" s="99" t="n">
        <x:v>5</x:v>
      </x:c>
      <x:c r="D71" s="99" t="str">
        <x:v>against</x:v>
      </x:c>
      <x:c r="E71" s="99" t="str">
        <x:v>/əˈɡenst/</x:v>
      </x:c>
      <x:c r="F71" s="99" t="str">
        <x:v>(在比赛或战斗中) 对（某人或某事物）</x:v>
      </x:c>
      <x:c r="G71" s="99" t="str">
        <x:v>5. against /əˈɡenst/ (在比赛或战斗中) 对（某人或某事物）</x:v>
      </x:c>
    </x:row>
    <x:row r="72" ht="18" customHeight="1">
      <x:c r="A72" s="99" t="str">
        <x:v>A</x:v>
      </x:c>
      <x:c r="B72" s="99" t="str">
        <x:v>介词</x:v>
      </x:c>
      <x:c r="C72" s="99" t="n">
        <x:v>6</x:v>
      </x:c>
      <x:c r="D72" s="99" t="str">
        <x:v>along</x:v>
      </x:c>
      <x:c r="E72" s="99" t="str">
        <x:v>/əˈlɒŋ/</x:v>
      </x:c>
      <x:c r="F72" s="99" t="str">
        <x:v>沿着</x:v>
      </x:c>
      <x:c r="G72" s="99" t="str">
        <x:v>6. along /əˈlɒŋ/ 沿着</x:v>
      </x:c>
    </x:row>
    <x:row r="73" ht="18" customHeight="1">
      <x:c r="A73" s="99" t="str">
        <x:v>A</x:v>
      </x:c>
      <x:c r="B73" s="99" t="str">
        <x:v>介词</x:v>
      </x:c>
      <x:c r="C73" s="99" t="n">
        <x:v>7</x:v>
      </x:c>
      <x:c r="D73" s="99" t="str">
        <x:v>around</x:v>
      </x:c>
      <x:c r="E73" s="99" t="str">
        <x:v>/əˈraʊnd/</x:v>
      </x:c>
      <x:c r="F73" s="99" t="str">
        <x:v>环绕着；围绕</x:v>
      </x:c>
      <x:c r="G73" s="99" t="str">
        <x:v>7. around /əˈraʊnd/ 环绕着；围绕</x:v>
      </x:c>
    </x:row>
    <x:row r="74" ht="18" customHeight="1">
      <x:c r="A74" s="99" t="str">
        <x:v>A</x:v>
      </x:c>
      <x:c r="B74" s="99" t="str">
        <x:v>介词</x:v>
      </x:c>
      <x:c r="C74" s="99" t="n">
        <x:v>8</x:v>
      </x:c>
      <x:c r="D74" s="99" t="str">
        <x:v>as</x:v>
      </x:c>
      <x:c r="E74" s="99" t="str">
        <x:v>/æz; əz/</x:v>
      </x:c>
      <x:c r="F74" s="99" t="str">
        <x:v>当……时；作为</x:v>
      </x:c>
      <x:c r="G74" s="99" t="str">
        <x:v>8. as /æz; əz/ 当……时；作为</x:v>
      </x:c>
    </x:row>
    <x:row r="75" ht="18" customHeight="1">
      <x:c r="A75" s="99" t="str">
        <x:v>A</x:v>
      </x:c>
      <x:c r="B75" s="99" t="str">
        <x:v>介词</x:v>
      </x:c>
      <x:c r="C75" s="99" t="n">
        <x:v>9</x:v>
      </x:c>
      <x:c r="D75" s="99" t="str">
        <x:v>at</x:v>
      </x:c>
      <x:c r="E75" s="99" t="str">
        <x:v>/æt; ət/</x:v>
      </x:c>
      <x:c r="F75" s="99" t="str">
        <x:v>在……；在……里；在……点钟</x:v>
      </x:c>
      <x:c r="G75" s="99" t="str">
        <x:v>9. at /æt; ət/ 在……；在……里；在……点钟</x:v>
      </x:c>
    </x:row>
    <x:row r="76" ht="18" customHeight="1">
      <x:c r="A76" s="99" t="str">
        <x:v>A</x:v>
      </x:c>
      <x:c r="B76" s="99" t="str">
        <x:v>连词</x:v>
      </x:c>
      <x:c r="C76" s="99" t="n">
        <x:v>1</x:v>
      </x:c>
      <x:c r="D76" s="99" t="str">
        <x:v>and</x:v>
      </x:c>
      <x:c r="E76" s="99" t="str">
        <x:v>/ænd; ənd/</x:v>
      </x:c>
      <x:c r="F76" s="99" t="str">
        <x:v>和，与</x:v>
      </x:c>
      <x:c r="G76" s="99" t="str">
        <x:v>1. and /ænd; ənd/ 和，与</x:v>
      </x:c>
    </x:row>
    <x:row r="77" ht="18" customHeight="1">
      <x:c r="A77" s="99" t="str">
        <x:v>A</x:v>
      </x:c>
      <x:c r="B77" s="99" t="str">
        <x:v>连词</x:v>
      </x:c>
      <x:c r="C77" s="99" t="n">
        <x:v>2</x:v>
      </x:c>
      <x:c r="D77" s="99" t="str">
        <x:v>as</x:v>
      </x:c>
      <x:c r="E77" s="99" t="str">
        <x:v>/æz; əz/</x:v>
      </x:c>
      <x:c r="F77" s="99" t="str">
        <x:v>当……时；像……一样；并且，还</x:v>
      </x:c>
      <x:c r="G77" s="99" t="str">
        <x:v>2. as /æz; əz/ 当……时；像……一样；并且，还</x:v>
      </x:c>
    </x:row>
    <x:row r="78" ht="18" customHeight="1">
      <x:c r="A78" s="99" t="str">
        <x:v>A</x:v>
      </x:c>
      <x:c r="B78" s="99" t="str">
        <x:v>连词</x:v>
      </x:c>
      <x:c r="C78" s="99" t="n">
        <x:v>3</x:v>
      </x:c>
      <x:c r="D78" s="99" t="str">
        <x:v>although</x:v>
      </x:c>
      <x:c r="E78" s="99" t="str">
        <x:v>/ɔːlˈðəʊ/</x:v>
      </x:c>
      <x:c r="F78" s="99" t="str">
        <x:v>然而；尽管</x:v>
      </x:c>
      <x:c r="G78" s="99" t="str">
        <x:v>3. although /ɔːlˈðəʊ/ 然而；尽管</x:v>
      </x:c>
    </x:row>
    <x:row r="79" ht="18" customHeight="1">
      <x:c r="A79" s="99" t="str">
        <x:v>A</x:v>
      </x:c>
      <x:c r="B79" s="99" t="str">
        <x:v>代词</x:v>
      </x:c>
      <x:c r="C79" s="99" t="n">
        <x:v>1</x:v>
      </x:c>
      <x:c r="D79" s="99" t="str">
        <x:v>all</x:v>
      </x:c>
      <x:c r="E79" s="99" t="str">
        <x:v>/ɔːl/</x:v>
      </x:c>
      <x:c r="F79" s="99" t="str">
        <x:v>每个，全体；所有的；全部的</x:v>
      </x:c>
      <x:c r="G79" s="99" t="str">
        <x:v>1. all /ɔːl/ 每个，全体；所有的；全部的</x:v>
      </x:c>
    </x:row>
    <x:row r="80" ht="18" customHeight="1">
      <x:c r="A80" s="99" t="str">
        <x:v>A</x:v>
      </x:c>
      <x:c r="B80" s="99" t="str">
        <x:v>代词</x:v>
      </x:c>
      <x:c r="C80" s="99" t="n">
        <x:v>2</x:v>
      </x:c>
      <x:c r="D80" s="99" t="str">
        <x:v>another</x:v>
      </x:c>
      <x:c r="E80" s="99" t="str">
        <x:v>/əˈnʌðə/</x:v>
      </x:c>
      <x:c r="F80" s="99" t="str">
        <x:v>又一个；再一个</x:v>
      </x:c>
      <x:c r="G80" s="99" t="str">
        <x:v>2. another /əˈnʌðə/ 又一个；再一个</x:v>
      </x:c>
    </x:row>
    <x:row r="81" ht="18" customHeight="1">
      <x:c r="A81" s="99" t="str">
        <x:v>A</x:v>
      </x:c>
      <x:c r="B81" s="99" t="str">
        <x:v>代词</x:v>
      </x:c>
      <x:c r="C81" s="99" t="n">
        <x:v>3</x:v>
      </x:c>
      <x:c r="D81" s="99" t="str">
        <x:v>anyone</x:v>
      </x:c>
      <x:c r="E81" s="99" t="str">
        <x:v>/ˈeniwʌn/</x:v>
      </x:c>
      <x:c r="F81" s="99" t="str">
        <x:v>任何人</x:v>
      </x:c>
      <x:c r="G81" s="99" t="str">
        <x:v>3. anyone /ˈeniwʌn/ 任何人</x:v>
      </x:c>
    </x:row>
    <x:row r="82" ht="18" customHeight="1">
      <x:c r="A82" s="99" t="str">
        <x:v>A</x:v>
      </x:c>
      <x:c r="B82" s="99" t="str">
        <x:v>代词</x:v>
      </x:c>
      <x:c r="C82" s="99" t="n">
        <x:v>4</x:v>
      </x:c>
      <x:c r="D82" s="99" t="str">
        <x:v>anything</x:v>
      </x:c>
      <x:c r="E82" s="99" t="str">
        <x:v>/ˈeniθɪŋ/</x:v>
      </x:c>
      <x:c r="F82" s="99" t="str">
        <x:v>任何东西；任何事情</x:v>
      </x:c>
      <x:c r="G82" s="99" t="str">
        <x:v>4. anything /ˈeniθɪŋ/ 任何东西；任何事情</x:v>
      </x:c>
    </x:row>
    <x:row r="83" ht="18" customHeight="1">
      <x:c r="A83" s="99" t="str">
        <x:v>A</x:v>
      </x:c>
      <x:c r="B83" s="99" t="str">
        <x:v>代词</x:v>
      </x:c>
      <x:c r="C83" s="99" t="n">
        <x:v>5</x:v>
      </x:c>
      <x:c r="D83" s="99" t="str">
        <x:v>any</x:v>
      </x:c>
      <x:c r="E83" s="99" t="str">
        <x:v>/ˈeni/</x:v>
      </x:c>
      <x:c r="F83" s="99" t="str">
        <x:v>任何一个；一些（此处也作代词）</x:v>
      </x:c>
      <x:c r="G83" s="99" t="str">
        <x:v>5. any /ˈeni/ 任何一个；一些（此处也作代词）</x:v>
      </x:c>
    </x:row>
    <x:row r="84" ht="18" customHeight="1">
      <x:c r="A84" s="99" t="str">
        <x:v>A</x:v>
      </x:c>
      <x:c r="B84" s="99" t="str">
        <x:v>短语</x:v>
      </x:c>
      <x:c r="C84" s="99" t="n">
        <x:v>1</x:v>
      </x:c>
      <x:c r="D84" s="99" t="str">
        <x:v>all</x:v>
      </x:c>
      <x:c r="E84" s="99" t="str"/>
      <x:c r="F84" s="99" t="str">
        <x:v>over 浑身，到处</x:v>
      </x:c>
      <x:c r="G84" s="99" t="str">
        <x:v>1. all over 浑身，到处</x:v>
      </x:c>
    </x:row>
    <x:row r="85" ht="18" customHeight="1">
      <x:c r="A85" s="99" t="str">
        <x:v>A</x:v>
      </x:c>
      <x:c r="B85" s="99" t="str">
        <x:v>短语</x:v>
      </x:c>
      <x:c r="C85" s="99" t="n">
        <x:v>2</x:v>
      </x:c>
      <x:c r="D85" s="99" t="str">
        <x:v>all</x:v>
      </x:c>
      <x:c r="E85" s="99" t="str"/>
      <x:c r="F85" s="99" t="str">
        <x:v>alone 独自一人的</x:v>
      </x:c>
      <x:c r="G85" s="99" t="str">
        <x:v>2. all alone 独自一人的</x:v>
      </x:c>
    </x:row>
    <x:row r="86" ht="18" customHeight="1">
      <x:c r="A86" s="99" t="str">
        <x:v>A</x:v>
      </x:c>
      <x:c r="B86" s="99" t="str">
        <x:v>短语</x:v>
      </x:c>
      <x:c r="C86" s="99" t="n">
        <x:v>3</x:v>
      </x:c>
      <x:c r="D86" s="99" t="str">
        <x:v>all</x:v>
      </x:c>
      <x:c r="E86" s="99" t="str"/>
      <x:c r="F86" s="99" t="str">
        <x:v>the time 一直；不断地</x:v>
      </x:c>
      <x:c r="G86" s="99" t="str">
        <x:v>3. all the time 一直；不断地</x:v>
      </x:c>
    </x:row>
    <x:row r="87" ht="18" customHeight="1">
      <x:c r="A87" s="99" t="str">
        <x:v>A</x:v>
      </x:c>
      <x:c r="B87" s="99" t="str">
        <x:v>短语</x:v>
      </x:c>
      <x:c r="C87" s="99" t="n">
        <x:v>4</x:v>
      </x:c>
      <x:c r="D87" s="99" t="str">
        <x:v>arm</x:v>
      </x:c>
      <x:c r="E87" s="99" t="str"/>
      <x:c r="F87" s="99" t="str">
        <x:v>in arm 臂挽臂地</x:v>
      </x:c>
      <x:c r="G87" s="99" t="str">
        <x:v>4. arm in arm 臂挽臂地</x:v>
      </x:c>
    </x:row>
    <x:row r="88" ht="18" customHeight="1">
      <x:c r="A88" s="99" t="str">
        <x:v>A</x:v>
      </x:c>
      <x:c r="B88" s="99" t="str">
        <x:v>短语</x:v>
      </x:c>
      <x:c r="C88" s="99" t="n">
        <x:v>5</x:v>
      </x:c>
      <x:c r="D88" s="99" t="str">
        <x:v>around</x:v>
      </x:c>
      <x:c r="E88" s="99" t="str"/>
      <x:c r="F88" s="99" t="str">
        <x:v>the world 世界各地</x:v>
      </x:c>
      <x:c r="G88" s="99" t="str">
        <x:v>5. around the world 世界各地</x:v>
      </x:c>
    </x:row>
    <x:row r="89" ht="18" customHeight="1">
      <x:c r="A89" s="99" t="str">
        <x:v>A</x:v>
      </x:c>
      <x:c r="B89" s="99" t="str">
        <x:v>短语</x:v>
      </x:c>
      <x:c r="C89" s="99" t="n">
        <x:v>6</x:v>
      </x:c>
      <x:c r="D89" s="99" t="str">
        <x:v>as</x:v>
      </x:c>
      <x:c r="E89" s="99" t="str"/>
      <x:c r="F89" s="99" t="str">
        <x:v>well 和；又；也</x:v>
      </x:c>
      <x:c r="G89" s="99" t="str">
        <x:v>6. as well 和；又；也</x:v>
      </x:c>
    </x:row>
    <x:row r="90" ht="18" customHeight="1">
      <x:c r="A90" s="99" t="str">
        <x:v>A</x:v>
      </x:c>
      <x:c r="B90" s="99" t="str">
        <x:v>短语</x:v>
      </x:c>
      <x:c r="C90" s="99" t="n">
        <x:v>7</x:v>
      </x:c>
      <x:c r="D90" s="99" t="str">
        <x:v>at</x:v>
      </x:c>
      <x:c r="E90" s="99" t="str"/>
      <x:c r="F90" s="99" t="str">
        <x:v>first 起初；首先</x:v>
      </x:c>
      <x:c r="G90" s="99" t="str">
        <x:v>7. at first 起初；首先</x:v>
      </x:c>
    </x:row>
    <x:row r="91" ht="18" customHeight="1">
      <x:c r="A91" s="99" t="str">
        <x:v>A</x:v>
      </x:c>
      <x:c r="B91" s="99" t="str">
        <x:v>短语</x:v>
      </x:c>
      <x:c r="C91" s="99" t="n">
        <x:v>8</x:v>
      </x:c>
      <x:c r="D91" s="99" t="str">
        <x:v>at</x:v>
      </x:c>
      <x:c r="E91" s="99" t="str"/>
      <x:c r="F91" s="99" t="str">
        <x:v>last 终于；最后</x:v>
      </x:c>
      <x:c r="G91" s="99" t="str">
        <x:v>8. at last 终于；最后</x:v>
      </x:c>
    </x:row>
    <x:row r="92" ht="18" customHeight="1">
      <x:c r="A92" s="99" t="str">
        <x:v>A</x:v>
      </x:c>
      <x:c r="B92" s="99" t="str">
        <x:v>短语</x:v>
      </x:c>
      <x:c r="C92" s="99" t="n">
        <x:v>9</x:v>
      </x:c>
      <x:c r="D92" s="99" t="str">
        <x:v>at</x:v>
      </x:c>
      <x:c r="E92" s="99" t="str"/>
      <x:c r="F92" s="99" t="str">
        <x:v>school 在学校；上学</x:v>
      </x:c>
      <x:c r="G92" s="99" t="str">
        <x:v>9. at school 在学校；上学</x:v>
      </x:c>
    </x:row>
    <x:row r="93" ht="18" customHeight="1">
      <x:c r="A93" s="99" t="str">
        <x:v>A</x:v>
      </x:c>
      <x:c r="B93" s="99" t="str">
        <x:v>短语</x:v>
      </x:c>
      <x:c r="C93" s="99" t="n">
        <x:v>10</x:v>
      </x:c>
      <x:c r="D93" s="99" t="str">
        <x:v>at</x:v>
      </x:c>
      <x:c r="E93" s="99" t="str"/>
      <x:c r="F93" s="99" t="str">
        <x:v>the age of 在……岁时</x:v>
      </x:c>
      <x:c r="G93" s="99" t="str">
        <x:v>10. at the age of 在……岁时</x:v>
      </x:c>
    </x:row>
    <x:row r="94" ht="18" customHeight="1">
      <x:c r="A94" s="99" t="str">
        <x:v>A</x:v>
      </x:c>
      <x:c r="B94" s="99" t="str">
        <x:v>短语</x:v>
      </x:c>
      <x:c r="C94" s="99" t="n">
        <x:v>11</x:v>
      </x:c>
      <x:c r="D94" s="99" t="str">
        <x:v>at</x:v>
      </x:c>
      <x:c r="E94" s="99" t="str"/>
      <x:c r="F94" s="99" t="str">
        <x:v>the end of 在……的结尾；在……的末端</x:v>
      </x:c>
      <x:c r="G94" s="99" t="str">
        <x:v>11. at the end of 在……的结尾；在……的末端</x:v>
      </x:c>
    </x:row>
    <x:row r="95" ht="18" customHeight="1">
      <x:c r="A95" s="99" t="str">
        <x:v>A</x:v>
      </x:c>
      <x:c r="B95" s="99" t="str">
        <x:v>短语</x:v>
      </x:c>
      <x:c r="C95" s="99" t="n">
        <x:v>12</x:v>
      </x:c>
      <x:c r="D95" s="99" t="str">
        <x:v>at</x:v>
      </x:c>
      <x:c r="E95" s="99" t="str"/>
      <x:c r="F95" s="99" t="str">
        <x:v>the same time 同时</x:v>
      </x:c>
      <x:c r="G95" s="99" t="str">
        <x:v>12. at the same time 同时</x:v>
      </x:c>
    </x:row>
    <x:row r="96" ht="18" customHeight="1">
      <x:c r="A96" s="99" t="str">
        <x:v>A</x:v>
      </x:c>
      <x:c r="B96" s="99" t="str">
        <x:v>短语</x:v>
      </x:c>
      <x:c r="C96" s="99" t="n">
        <x:v>13</x:v>
      </x:c>
      <x:c r="D96" s="99" t="str">
        <x:v>at</x:v>
      </x:c>
      <x:c r="E96" s="99" t="str"/>
      <x:c r="F96" s="99" t="str">
        <x:v>the top of 在……的顶端</x:v>
      </x:c>
      <x:c r="G96" s="99" t="str">
        <x:v>13. at the top of 在……的顶端</x:v>
      </x:c>
    </x:row>
    <x:row r="97" ht="18" customHeight="1">
      <x:c r="A97" s="99" t="str">
        <x:v>A</x:v>
      </x:c>
      <x:c r="B97" s="99" t="str">
        <x:v>短语</x:v>
      </x:c>
      <x:c r="C97" s="99" t="n">
        <x:v>14</x:v>
      </x:c>
      <x:c r="D97" s="99" t="str">
        <x:v>ask</x:v>
      </x:c>
      <x:c r="E97" s="99" t="str"/>
      <x:c r="F97" s="99" t="str">
        <x:v>for 请求（给予）</x:v>
      </x:c>
      <x:c r="G97" s="99" t="str">
        <x:v>14. ask for 请求（给予）</x:v>
      </x:c>
    </x:row>
    <x:row r="98" ht="18" customHeight="1">
      <x:c r="A98" s="99" t="str">
        <x:v>A</x:v>
      </x:c>
      <x:c r="B98" s="99" t="str">
        <x:v>短语</x:v>
      </x:c>
      <x:c r="C98" s="99" t="n">
        <x:v>15</x:v>
      </x:c>
      <x:c r="D98" s="99" t="str">
        <x:v>agree</x:v>
      </x:c>
      <x:c r="E98" s="99" t="str"/>
      <x:c r="F98" s="99" t="str">
        <x:v>with sb. 同意某人</x:v>
      </x:c>
      <x:c r="G98" s="99" t="str">
        <x:v>15. agree with sb. 同意某人</x:v>
      </x:c>
    </x:row>
    <x:row r="99" ht="18" customHeight="1">
      <x:c r="A99" s="99" t="str">
        <x:v>A</x:v>
      </x:c>
      <x:c r="B99" s="99" t="str">
        <x:v>短语</x:v>
      </x:c>
      <x:c r="C99" s="99" t="n">
        <x:v>16</x:v>
      </x:c>
      <x:c r="D99" s="99" t="str">
        <x:v>be</x:v>
      </x:c>
      <x:c r="E99" s="99" t="str"/>
      <x:c r="F99" s="99" t="str">
        <x:v>able to 能够做……</x:v>
      </x:c>
      <x:c r="G99" s="99" t="str">
        <x:v>16. be able to 能够做……</x:v>
      </x:c>
    </x:row>
    <x:row r="100" ht="18" customHeight="1">
      <x:c r="A100" s="99" t="str">
        <x:v>A</x:v>
      </x:c>
      <x:c r="B100" s="99" t="str">
        <x:v>短语</x:v>
      </x:c>
      <x:c r="C100" s="99" t="n">
        <x:v>17</x:v>
      </x:c>
      <x:c r="D100" s="99" t="str">
        <x:v>feel</x:v>
      </x:c>
      <x:c r="E100" s="99" t="str"/>
      <x:c r="F100" s="99" t="str">
        <x:v>awful 感到不舒服</x:v>
      </x:c>
      <x:c r="G100" s="99" t="str">
        <x:v>17. feel awful 感到不舒服</x:v>
      </x:c>
    </x:row>
    <x:row r="101" ht="18" customHeight="1">
      <x:c r="A101" s="99" t="str">
        <x:v>A</x:v>
      </x:c>
      <x:c r="B101" s="99" t="str">
        <x:v>短语</x:v>
      </x:c>
      <x:c r="C101" s="99" t="n">
        <x:v>18</x:v>
      </x:c>
      <x:c r="D101" s="99" t="str">
        <x:v>first</x:v>
      </x:c>
      <x:c r="E101" s="99" t="str"/>
      <x:c r="F101" s="99" t="str">
        <x:v>aid 急救</x:v>
      </x:c>
      <x:c r="G101" s="99" t="str">
        <x:v>18. first aid 急救</x:v>
      </x:c>
    </x:row>
    <x:row r="102" ht="18" customHeight="1">
      <x:c r="A102" s="99" t="str">
        <x:v>A</x:v>
      </x:c>
      <x:c r="B102" s="99" t="str">
        <x:v>短语</x:v>
      </x:c>
      <x:c r="C102" s="99" t="n">
        <x:v>19</x:v>
      </x:c>
      <x:c r="D102" s="99" t="str">
        <x:v>good</x:v>
      </x:c>
      <x:c r="E102" s="99" t="str"/>
      <x:c r="F102" s="99" t="str">
        <x:v>afternoon 下午好</x:v>
      </x:c>
      <x:c r="G102" s="99" t="str">
        <x:v>19. good afternoon 下午好</x:v>
      </x:c>
    </x:row>
    <x:row r="103" ht="18" customHeight="1">
      <x:c r="A103" s="99" t="str">
        <x:v>A</x:v>
      </x:c>
      <x:c r="B103" s="99" t="str">
        <x:v>短语</x:v>
      </x:c>
      <x:c r="C103" s="99" t="n">
        <x:v>20</x:v>
      </x:c>
      <x:c r="D103" s="99" t="str">
        <x:v>pay</x:v>
      </x:c>
      <x:c r="E103" s="99" t="str"/>
      <x:c r="F103" s="99" t="str">
        <x:v>attention 注意；留心</x:v>
      </x:c>
      <x:c r="G103" s="99" t="str">
        <x:v>20. pay attention 注意；留心</x:v>
      </x:c>
    </x:row>
    <x:row r="104" ht="18" customHeight="1">
      <x:c r="A104" s="99" t="str">
        <x:v>A</x:v>
      </x:c>
      <x:c r="B104" s="99" t="str">
        <x:v>短语</x:v>
      </x:c>
      <x:c r="C104" s="99" t="n">
        <x:v>21</x:v>
      </x:c>
      <x:c r="D104" s="99" t="str">
        <x:v>that's</x:v>
      </x:c>
      <x:c r="E104" s="99" t="str"/>
      <x:c r="F104" s="99" t="str">
        <x:v>all 仅此而已</x:v>
      </x:c>
      <x:c r="G104" s="99" t="str">
        <x:v>21. that's all 仅此而已</x:v>
      </x:c>
    </x:row>
    <x:row r="105" ht="18" customHeight="1">
      <x:c r="A105" s="99" t="str">
        <x:v>A</x:v>
      </x:c>
      <x:c r="B105" s="99" t="str">
        <x:v>短语</x:v>
      </x:c>
      <x:c r="C105" s="99" t="n">
        <x:v>22</x:v>
      </x:c>
      <x:c r="D105" s="99" t="str">
        <x:v>What</x:v>
      </x:c>
      <x:c r="E105" s="99" t="str"/>
      <x:c r="F105" s="99" t="str">
        <x:v>about...? ……怎么样？</x:v>
      </x:c>
      <x:c r="G105" s="99" t="str">
        <x:v>22. What about...? ……怎么样？</x:v>
      </x:c>
    </x:row>
    <x:row r="106" ht="18" customHeight="1">
      <x:c r="A106" s="99" t="str">
        <x:v>B</x:v>
      </x:c>
      <x:c r="B106" s="99" t="str">
        <x:v>名词</x:v>
      </x:c>
      <x:c r="C106" s="99" t="n">
        <x:v>1</x:v>
      </x:c>
      <x:c r="D106" s="99" t="str">
        <x:v>background</x:v>
      </x:c>
      <x:c r="E106" s="99" t="str">
        <x:v>/ˈbækɡraʊnd/</x:v>
      </x:c>
      <x:c r="F106" s="99" t="str">
        <x:v>背景</x:v>
      </x:c>
      <x:c r="G106" s="99" t="str">
        <x:v>1. background /ˈbækɡraʊnd/ 背景</x:v>
      </x:c>
    </x:row>
    <x:row r="107" ht="18" customHeight="1">
      <x:c r="A107" s="99" t="str">
        <x:v>B</x:v>
      </x:c>
      <x:c r="B107" s="99" t="str">
        <x:v>名词</x:v>
      </x:c>
      <x:c r="C107" s="99" t="n">
        <x:v>2</x:v>
      </x:c>
      <x:c r="D107" s="99" t="str">
        <x:v>ball</x:v>
      </x:c>
      <x:c r="E107" s="99" t="str">
        <x:v>/bɔːl/</x:v>
      </x:c>
      <x:c r="F107" s="99" t="str">
        <x:v>球；球类游戏</x:v>
      </x:c>
      <x:c r="G107" s="99" t="str">
        <x:v>2. ball /bɔːl/ 球；球类游戏</x:v>
      </x:c>
    </x:row>
    <x:row r="108" ht="18" customHeight="1">
      <x:c r="A108" s="99" t="str">
        <x:v>B</x:v>
      </x:c>
      <x:c r="B108" s="99" t="str">
        <x:v>名词</x:v>
      </x:c>
      <x:c r="C108" s="99" t="n">
        <x:v>3</x:v>
      </x:c>
      <x:c r="D108" s="99" t="str">
        <x:v>banana</x:v>
      </x:c>
      <x:c r="E108" s="99" t="str">
        <x:v>/bəˈnɑːnə/</x:v>
      </x:c>
      <x:c r="F108" s="99" t="str">
        <x:v>香蕉</x:v>
      </x:c>
      <x:c r="G108" s="99" t="str">
        <x:v>3. banana /bəˈnɑːnə/ 香蕉</x:v>
      </x:c>
    </x:row>
    <x:row r="109" ht="18" customHeight="1">
      <x:c r="A109" s="99" t="str">
        <x:v>B</x:v>
      </x:c>
      <x:c r="B109" s="99" t="str">
        <x:v>名词</x:v>
      </x:c>
      <x:c r="C109" s="99" t="n">
        <x:v>4</x:v>
      </x:c>
      <x:c r="D109" s="99" t="str">
        <x:v>bank</x:v>
      </x:c>
      <x:c r="E109" s="99" t="str">
        <x:v>/bæŋk/</x:v>
      </x:c>
      <x:c r="F109" s="99" t="str">
        <x:v>银行</x:v>
      </x:c>
      <x:c r="G109" s="99" t="str">
        <x:v>4. bank /bæŋk/ 银行</x:v>
      </x:c>
    </x:row>
    <x:row r="110" ht="18" customHeight="1">
      <x:c r="A110" s="99" t="str">
        <x:v>B</x:v>
      </x:c>
      <x:c r="B110" s="99" t="str">
        <x:v>名词</x:v>
      </x:c>
      <x:c r="C110" s="99" t="n">
        <x:v>5</x:v>
      </x:c>
      <x:c r="D110" s="99" t="str">
        <x:v>baseball</x:v>
      </x:c>
      <x:c r="E110" s="99" t="str">
        <x:v>/ˈbeɪsbɔːl/</x:v>
      </x:c>
      <x:c r="F110" s="99" t="str">
        <x:v>棒球</x:v>
      </x:c>
      <x:c r="G110" s="99" t="str">
        <x:v>5. baseball /ˈbeɪsbɔːl/ 棒球</x:v>
      </x:c>
    </x:row>
    <x:row r="111" ht="18" customHeight="1">
      <x:c r="A111" s="99" t="str">
        <x:v>B</x:v>
      </x:c>
      <x:c r="B111" s="99" t="str">
        <x:v>名词</x:v>
      </x:c>
      <x:c r="C111" s="99" t="n">
        <x:v>6</x:v>
      </x:c>
      <x:c r="D111" s="99" t="str">
        <x:v>basket</x:v>
      </x:c>
      <x:c r="E111" s="99" t="str">
        <x:v>/ˈbɑːskɪt/</x:v>
      </x:c>
      <x:c r="F111" s="99" t="str">
        <x:v>篮子</x:v>
      </x:c>
      <x:c r="G111" s="99" t="str">
        <x:v>6. basket /ˈbɑːskɪt/ 篮子</x:v>
      </x:c>
    </x:row>
    <x:row r="112" ht="18" customHeight="1">
      <x:c r="A112" s="99" t="str">
        <x:v>B</x:v>
      </x:c>
      <x:c r="B112" s="99" t="str">
        <x:v>名词</x:v>
      </x:c>
      <x:c r="C112" s="99" t="n">
        <x:v>7</x:v>
      </x:c>
      <x:c r="D112" s="99" t="str">
        <x:v>basketball</x:v>
      </x:c>
      <x:c r="E112" s="99" t="str">
        <x:v>/ˈbɑːskɪtbɔːl/</x:v>
      </x:c>
      <x:c r="F112" s="99" t="str">
        <x:v>篮球</x:v>
      </x:c>
      <x:c r="G112" s="99" t="str">
        <x:v>7. basketball /ˈbɑːskɪtbɔːl/ 篮球</x:v>
      </x:c>
    </x:row>
    <x:row r="113" ht="18" customHeight="1">
      <x:c r="A113" s="99" t="str">
        <x:v>B</x:v>
      </x:c>
      <x:c r="B113" s="99" t="str">
        <x:v>名词</x:v>
      </x:c>
      <x:c r="C113" s="99" t="n">
        <x:v>8</x:v>
      </x:c>
      <x:c r="D113" s="99" t="str">
        <x:v>bathroom</x:v>
      </x:c>
      <x:c r="E113" s="99" t="str">
        <x:v>/ˈbɑːθruːm/</x:v>
      </x:c>
      <x:c r="F113" s="99" t="str">
        <x:v>浴室</x:v>
      </x:c>
      <x:c r="G113" s="99" t="str">
        <x:v>8. bathroom /ˈbɑːθruːm/ 浴室</x:v>
      </x:c>
    </x:row>
    <x:row r="114" ht="18" customHeight="1">
      <x:c r="A114" s="99" t="str">
        <x:v>B</x:v>
      </x:c>
      <x:c r="B114" s="99" t="str">
        <x:v>名词</x:v>
      </x:c>
      <x:c r="C114" s="99" t="n">
        <x:v>9</x:v>
      </x:c>
      <x:c r="D114" s="99" t="str">
        <x:v>beach</x:v>
      </x:c>
      <x:c r="E114" s="99" t="str">
        <x:v>/biːtʃ/</x:v>
      </x:c>
      <x:c r="F114" s="99" t="str">
        <x:v>海滨；海滩</x:v>
      </x:c>
      <x:c r="G114" s="99" t="str">
        <x:v>9. beach /biːtʃ/ 海滨；海滩</x:v>
      </x:c>
    </x:row>
    <x:row r="115" ht="18" customHeight="1">
      <x:c r="A115" s="99" t="str">
        <x:v>B</x:v>
      </x:c>
      <x:c r="B115" s="99" t="str">
        <x:v>名词</x:v>
      </x:c>
      <x:c r="C115" s="99" t="n">
        <x:v>10</x:v>
      </x:c>
      <x:c r="D115" s="99" t="str">
        <x:v>bean</x:v>
      </x:c>
      <x:c r="E115" s="99" t="str">
        <x:v>/biːn/</x:v>
      </x:c>
      <x:c r="F115" s="99" t="str">
        <x:v>豆</x:v>
      </x:c>
      <x:c r="G115" s="99" t="str">
        <x:v>10. bean /biːn/ 豆</x:v>
      </x:c>
    </x:row>
    <x:row r="116" ht="18" customHeight="1">
      <x:c r="A116" s="99" t="str">
        <x:v>B</x:v>
      </x:c>
      <x:c r="B116" s="99" t="str">
        <x:v>名词</x:v>
      </x:c>
      <x:c r="C116" s="99" t="n">
        <x:v>11</x:v>
      </x:c>
      <x:c r="D116" s="99" t="str">
        <x:v>bear</x:v>
      </x:c>
      <x:c r="E116" s="99" t="str">
        <x:v>/beə/</x:v>
      </x:c>
      <x:c r="F116" s="99" t="str">
        <x:v>熊</x:v>
      </x:c>
      <x:c r="G116" s="99" t="str">
        <x:v>11. bear /beə/ 熊</x:v>
      </x:c>
    </x:row>
    <x:row r="117" ht="18" customHeight="1">
      <x:c r="A117" s="99" t="str">
        <x:v>B</x:v>
      </x:c>
      <x:c r="B117" s="99" t="str">
        <x:v>名词</x:v>
      </x:c>
      <x:c r="C117" s="99" t="n">
        <x:v>12</x:v>
      </x:c>
      <x:c r="D117" s="99" t="str">
        <x:v>bed</x:v>
      </x:c>
      <x:c r="E117" s="99" t="str">
        <x:v>/bed/</x:v>
      </x:c>
      <x:c r="F117" s="99" t="str">
        <x:v>床</x:v>
      </x:c>
      <x:c r="G117" s="99" t="str">
        <x:v>12. bed /bed/ 床</x:v>
      </x:c>
    </x:row>
    <x:row r="118" ht="18" customHeight="1">
      <x:c r="A118" s="99" t="str">
        <x:v>B</x:v>
      </x:c>
      <x:c r="B118" s="99" t="str">
        <x:v>名词</x:v>
      </x:c>
      <x:c r="C118" s="99" t="n">
        <x:v>13</x:v>
      </x:c>
      <x:c r="D118" s="99" t="str">
        <x:v>beef</x:v>
      </x:c>
      <x:c r="E118" s="99" t="str">
        <x:v>/biːf/</x:v>
      </x:c>
      <x:c r="F118" s="99" t="str">
        <x:v>牛肉</x:v>
      </x:c>
      <x:c r="G118" s="99" t="str">
        <x:v>13. beef /biːf/ 牛肉</x:v>
      </x:c>
    </x:row>
    <x:row r="119" ht="18" customHeight="1">
      <x:c r="A119" s="99" t="str">
        <x:v>B</x:v>
      </x:c>
      <x:c r="B119" s="99" t="str">
        <x:v>名词</x:v>
      </x:c>
      <x:c r="C119" s="99" t="n">
        <x:v>14</x:v>
      </x:c>
      <x:c r="D119" s="99" t="str">
        <x:v>bedroom</x:v>
      </x:c>
      <x:c r="E119" s="99" t="str">
        <x:v>/ˈbedruːm/</x:v>
      </x:c>
      <x:c r="F119" s="99" t="str">
        <x:v>卧室</x:v>
      </x:c>
      <x:c r="G119" s="99" t="str">
        <x:v>14. bedroom /ˈbedruːm/ 卧室</x:v>
      </x:c>
    </x:row>
    <x:row r="120" ht="18" customHeight="1">
      <x:c r="A120" s="99" t="str">
        <x:v>B</x:v>
      </x:c>
      <x:c r="B120" s="99" t="str">
        <x:v>名词</x:v>
      </x:c>
      <x:c r="C120" s="99" t="n">
        <x:v>15</x:v>
      </x:c>
      <x:c r="D120" s="99" t="str">
        <x:v>bike (= bicycle)</x:v>
      </x:c>
      <x:c r="E120" s="99" t="str">
        <x:v>/baɪk/</x:v>
      </x:c>
      <x:c r="F120" s="99" t="str">
        <x:v>自行车</x:v>
      </x:c>
      <x:c r="G120" s="99" t="str">
        <x:v>15. bike (= bicycle) /baɪk/ 自行车</x:v>
      </x:c>
    </x:row>
    <x:row r="121" ht="18" customHeight="1">
      <x:c r="A121" s="99" t="str">
        <x:v>B</x:v>
      </x:c>
      <x:c r="B121" s="99" t="str">
        <x:v>名词</x:v>
      </x:c>
      <x:c r="C121" s="99" t="n">
        <x:v>16</x:v>
      </x:c>
      <x:c r="D121" s="99" t="str">
        <x:v>bird</x:v>
      </x:c>
      <x:c r="E121" s="99" t="str">
        <x:v>/bɜːd/</x:v>
      </x:c>
      <x:c r="F121" s="99" t="str">
        <x:v>鸟</x:v>
      </x:c>
      <x:c r="G121" s="99" t="str">
        <x:v>16. bird /bɜːd/ 鸟</x:v>
      </x:c>
    </x:row>
    <x:row r="122" ht="18" customHeight="1">
      <x:c r="A122" s="99" t="str">
        <x:v>B</x:v>
      </x:c>
      <x:c r="B122" s="99" t="str">
        <x:v>名词</x:v>
      </x:c>
      <x:c r="C122" s="99" t="n">
        <x:v>17</x:v>
      </x:c>
      <x:c r="D122" s="99" t="str">
        <x:v>biscuit</x:v>
      </x:c>
      <x:c r="E122" s="99" t="str">
        <x:v>/ˈbɪskɪt/</x:v>
      </x:c>
      <x:c r="F122" s="99" t="str">
        <x:v>饼干</x:v>
      </x:c>
      <x:c r="G122" s="99" t="str">
        <x:v>17. biscuit /ˈbɪskɪt/ 饼干</x:v>
      </x:c>
    </x:row>
    <x:row r="123" ht="18" customHeight="1">
      <x:c r="A123" s="99" t="str">
        <x:v>B</x:v>
      </x:c>
      <x:c r="B123" s="99" t="str">
        <x:v>名词</x:v>
      </x:c>
      <x:c r="C123" s="99" t="n">
        <x:v>18</x:v>
      </x:c>
      <x:c r="D123" s="99" t="str">
        <x:v>birthday</x:v>
      </x:c>
      <x:c r="E123" s="99" t="str">
        <x:v>/ˈbɜːθdeɪ/</x:v>
      </x:c>
      <x:c r="F123" s="99" t="str">
        <x:v>生日</x:v>
      </x:c>
      <x:c r="G123" s="99" t="str">
        <x:v>18. birthday /ˈbɜːθdeɪ/ 生日</x:v>
      </x:c>
    </x:row>
    <x:row r="124" ht="18" customHeight="1">
      <x:c r="A124" s="99" t="str">
        <x:v>B</x:v>
      </x:c>
      <x:c r="B124" s="99" t="str">
        <x:v>名词</x:v>
      </x:c>
      <x:c r="C124" s="99" t="n">
        <x:v>19</x:v>
      </x:c>
      <x:c r="D124" s="99" t="str">
        <x:v>bit</x:v>
      </x:c>
      <x:c r="E124" s="99" t="str">
        <x:v>/bɪt/</x:v>
      </x:c>
      <x:c r="F124" s="99" t="str">
        <x:v>一点儿；少许</x:v>
      </x:c>
      <x:c r="G124" s="99" t="str">
        <x:v>19. bit /bɪt/ 一点儿；少许</x:v>
      </x:c>
    </x:row>
    <x:row r="125" ht="18" customHeight="1">
      <x:c r="A125" s="99" t="str">
        <x:v>B</x:v>
      </x:c>
      <x:c r="B125" s="99" t="str">
        <x:v>名词</x:v>
      </x:c>
      <x:c r="C125" s="99" t="n">
        <x:v>20</x:v>
      </x:c>
      <x:c r="D125" s="99" t="str">
        <x:v>blackboard</x:v>
      </x:c>
      <x:c r="E125" s="99" t="str">
        <x:v>/ˈblækbɔːd/</x:v>
      </x:c>
      <x:c r="F125" s="99" t="str">
        <x:v>黑板</x:v>
      </x:c>
      <x:c r="G125" s="99" t="str">
        <x:v>20. blackboard /ˈblækbɔːd/ 黑板</x:v>
      </x:c>
    </x:row>
    <x:row r="126" ht="18" customHeight="1">
      <x:c r="A126" s="99" t="str">
        <x:v>B</x:v>
      </x:c>
      <x:c r="B126" s="99" t="str">
        <x:v>名词</x:v>
      </x:c>
      <x:c r="C126" s="99" t="n">
        <x:v>21</x:v>
      </x:c>
      <x:c r="D126" s="99" t="str">
        <x:v>body</x:v>
      </x:c>
      <x:c r="E126" s="99" t="str">
        <x:v>/ˈbɒdi/</x:v>
      </x:c>
      <x:c r="F126" s="99" t="str">
        <x:v>身体；躯干</x:v>
      </x:c>
      <x:c r="G126" s="99" t="str">
        <x:v>21. body /ˈbɒdi/ 身体；躯干</x:v>
      </x:c>
    </x:row>
    <x:row r="127" ht="18" customHeight="1">
      <x:c r="A127" s="99" t="str">
        <x:v>B</x:v>
      </x:c>
      <x:c r="B127" s="99" t="str">
        <x:v>名词</x:v>
      </x:c>
      <x:c r="C127" s="99" t="n">
        <x:v>22</x:v>
      </x:c>
      <x:c r="D127" s="99" t="str">
        <x:v>book</x:v>
      </x:c>
      <x:c r="E127" s="99" t="str">
        <x:v>/bʊk/</x:v>
      </x:c>
      <x:c r="F127" s="99" t="str">
        <x:v>书</x:v>
      </x:c>
      <x:c r="G127" s="99" t="str">
        <x:v>22. book /bʊk/ 书</x:v>
      </x:c>
    </x:row>
    <x:row r="128" ht="18" customHeight="1">
      <x:c r="A128" s="99" t="str">
        <x:v>B</x:v>
      </x:c>
      <x:c r="B128" s="99" t="str">
        <x:v>名词</x:v>
      </x:c>
      <x:c r="C128" s="99" t="n">
        <x:v>23</x:v>
      </x:c>
      <x:c r="D128" s="99" t="str">
        <x:v>bookshop</x:v>
      </x:c>
      <x:c r="E128" s="99" t="str">
        <x:v>/ˈbʊkʃɒp/</x:v>
      </x:c>
      <x:c r="F128" s="99" t="str">
        <x:v>书店</x:v>
      </x:c>
      <x:c r="G128" s="99" t="str">
        <x:v>23. bookshop /ˈbʊkʃɒp/ 书店</x:v>
      </x:c>
    </x:row>
    <x:row r="129" ht="18" customHeight="1">
      <x:c r="A129" s="99" t="str">
        <x:v>B</x:v>
      </x:c>
      <x:c r="B129" s="99" t="str">
        <x:v>名词</x:v>
      </x:c>
      <x:c r="C129" s="99" t="n">
        <x:v>24</x:v>
      </x:c>
      <x:c r="D129" s="99" t="str">
        <x:v>bottom</x:v>
      </x:c>
      <x:c r="E129" s="99" t="str">
        <x:v>/ˈbɒtəm/</x:v>
      </x:c>
      <x:c r="F129" s="99" t="str">
        <x:v>底部；下端</x:v>
      </x:c>
      <x:c r="G129" s="99" t="str">
        <x:v>24. bottom /ˈbɒtəm/ 底部；下端</x:v>
      </x:c>
    </x:row>
    <x:row r="130" ht="18" customHeight="1">
      <x:c r="A130" s="99" t="str">
        <x:v>B</x:v>
      </x:c>
      <x:c r="B130" s="99" t="str">
        <x:v>名词</x:v>
      </x:c>
      <x:c r="C130" s="99" t="n">
        <x:v>25</x:v>
      </x:c>
      <x:c r="D130" s="99" t="str">
        <x:v>box</x:v>
      </x:c>
      <x:c r="E130" s="99" t="str">
        <x:v>/bɒks/</x:v>
      </x:c>
      <x:c r="F130" s="99" t="str">
        <x:v>（计算机屏幕上的）框；盒子</x:v>
      </x:c>
      <x:c r="G130" s="99" t="str">
        <x:v>25. box /bɒks/（计算机屏幕上的）框；盒子</x:v>
      </x:c>
    </x:row>
    <x:row r="131" ht="18" customHeight="1">
      <x:c r="A131" s="99" t="str">
        <x:v>B</x:v>
      </x:c>
      <x:c r="B131" s="99" t="str">
        <x:v>名词</x:v>
      </x:c>
      <x:c r="C131" s="99" t="n">
        <x:v>26</x:v>
      </x:c>
      <x:c r="D131" s="99" t="str">
        <x:v>boy</x:v>
      </x:c>
      <x:c r="E131" s="99" t="str">
        <x:v>/bɔɪ/</x:v>
      </x:c>
      <x:c r="F131" s="99" t="str">
        <x:v>男孩</x:v>
      </x:c>
      <x:c r="G131" s="99" t="str">
        <x:v>26. boy /bɔɪ/ 男孩</x:v>
      </x:c>
    </x:row>
    <x:row r="132" ht="18" customHeight="1">
      <x:c r="A132" s="99" t="str">
        <x:v>B</x:v>
      </x:c>
      <x:c r="B132" s="99" t="str">
        <x:v>名词</x:v>
      </x:c>
      <x:c r="C132" s="99" t="n">
        <x:v>27</x:v>
      </x:c>
      <x:c r="D132" s="99" t="str">
        <x:v>bread</x:v>
      </x:c>
      <x:c r="E132" s="99" t="str">
        <x:v>/bred/</x:v>
      </x:c>
      <x:c r="F132" s="99" t="str">
        <x:v>面包</x:v>
      </x:c>
      <x:c r="G132" s="99" t="str">
        <x:v>27. bread /bred/ 面包</x:v>
      </x:c>
    </x:row>
    <x:row r="133" ht="18" customHeight="1">
      <x:c r="A133" s="99" t="str">
        <x:v>B</x:v>
      </x:c>
      <x:c r="B133" s="99" t="str">
        <x:v>名词</x:v>
      </x:c>
      <x:c r="C133" s="99" t="n">
        <x:v>28</x:v>
      </x:c>
      <x:c r="D133" s="99" t="str">
        <x:v>break</x:v>
      </x:c>
      <x:c r="E133" s="99" t="str">
        <x:v>/breɪk/</x:v>
      </x:c>
      <x:c r="F133" s="99" t="str">
        <x:v>（课间）休息</x:v>
      </x:c>
      <x:c r="G133" s="99" t="str">
        <x:v>28. break /breɪk/（课间）休息</x:v>
      </x:c>
    </x:row>
    <x:row r="134" ht="18" customHeight="1">
      <x:c r="A134" s="99" t="str">
        <x:v>B</x:v>
      </x:c>
      <x:c r="B134" s="99" t="str">
        <x:v>名词</x:v>
      </x:c>
      <x:c r="C134" s="99" t="n">
        <x:v>29</x:v>
      </x:c>
      <x:c r="D134" s="99" t="str">
        <x:v>breakfast</x:v>
      </x:c>
      <x:c r="E134" s="99" t="str">
        <x:v>/ˈbrekfəst/</x:v>
      </x:c>
      <x:c r="F134" s="99" t="str">
        <x:v>早饭</x:v>
      </x:c>
      <x:c r="G134" s="99" t="str">
        <x:v>29. breakfast /ˈbrekfəst/ 早饭</x:v>
      </x:c>
    </x:row>
    <x:row r="135" ht="18" customHeight="1">
      <x:c r="A135" s="99" t="str">
        <x:v>B</x:v>
      </x:c>
      <x:c r="B135" s="99" t="str">
        <x:v>名词</x:v>
      </x:c>
      <x:c r="C135" s="99" t="n">
        <x:v>30</x:v>
      </x:c>
      <x:c r="D135" s="99" t="str">
        <x:v>bridge</x:v>
      </x:c>
      <x:c r="E135" s="99" t="str">
        <x:v>/brɪdʒ/</x:v>
      </x:c>
      <x:c r="F135" s="99" t="str">
        <x:v>桥</x:v>
      </x:c>
      <x:c r="G135" s="99" t="str">
        <x:v>30. bridge /brɪdʒ/ 桥</x:v>
      </x:c>
    </x:row>
    <x:row r="136" ht="18" customHeight="1">
      <x:c r="A136" s="99" t="str">
        <x:v>B</x:v>
      </x:c>
      <x:c r="B136" s="99" t="str">
        <x:v>名词</x:v>
      </x:c>
      <x:c r="C136" s="99" t="n">
        <x:v>31</x:v>
      </x:c>
      <x:c r="D136" s="99" t="str">
        <x:v>Britain</x:v>
      </x:c>
      <x:c r="E136" s="99" t="str">
        <x:v>/ˈbrɪtn/</x:v>
      </x:c>
      <x:c r="F136" s="99" t="str">
        <x:v>不列颠；英国</x:v>
      </x:c>
      <x:c r="G136" s="99" t="str">
        <x:v>31. Britain /ˈbrɪtn/ 不列颠；英国</x:v>
      </x:c>
    </x:row>
    <x:row r="137" ht="18" customHeight="1">
      <x:c r="A137" s="99" t="str">
        <x:v>B</x:v>
      </x:c>
      <x:c r="B137" s="99" t="str">
        <x:v>名词</x:v>
      </x:c>
      <x:c r="C137" s="99" t="n">
        <x:v>32</x:v>
      </x:c>
      <x:c r="D137" s="99" t="str">
        <x:v>brother</x:v>
      </x:c>
      <x:c r="E137" s="99" t="str">
        <x:v>/ˈbrʌðə/</x:v>
      </x:c>
      <x:c r="F137" s="99" t="str">
        <x:v>兄弟</x:v>
      </x:c>
      <x:c r="G137" s="99" t="str">
        <x:v>32. brother /ˈbrʌðə/ 兄弟</x:v>
      </x:c>
    </x:row>
    <x:row r="138" ht="18" customHeight="1">
      <x:c r="A138" s="99" t="str">
        <x:v>B</x:v>
      </x:c>
      <x:c r="B138" s="99" t="str">
        <x:v>名词</x:v>
      </x:c>
      <x:c r="C138" s="99" t="n">
        <x:v>33</x:v>
      </x:c>
      <x:c r="D138" s="99" t="str">
        <x:v>building</x:v>
      </x:c>
      <x:c r="E138" s="99" t="str">
        <x:v>/ˈbɪldɪŋ/</x:v>
      </x:c>
      <x:c r="F138" s="99" t="str">
        <x:v>建筑物</x:v>
      </x:c>
      <x:c r="G138" s="99" t="str">
        <x:v>33. building /ˈbɪldɪŋ/ 建筑物</x:v>
      </x:c>
    </x:row>
    <x:row r="139" ht="18" customHeight="1">
      <x:c r="A139" s="99" t="str">
        <x:v>B</x:v>
      </x:c>
      <x:c r="B139" s="99" t="str">
        <x:v>名词</x:v>
      </x:c>
      <x:c r="C139" s="99" t="n">
        <x:v>34</x:v>
      </x:c>
      <x:c r="D139" s="99" t="str">
        <x:v>bus</x:v>
      </x:c>
      <x:c r="E139" s="99" t="str">
        <x:v>/bʌs/</x:v>
      </x:c>
      <x:c r="F139" s="99" t="str">
        <x:v>公共汽车</x:v>
      </x:c>
      <x:c r="G139" s="99" t="str">
        <x:v>34. bus /bʌs/ 公共汽车</x:v>
      </x:c>
    </x:row>
    <x:row r="140" ht="18" customHeight="1">
      <x:c r="A140" s="99" t="str">
        <x:v>B</x:v>
      </x:c>
      <x:c r="B140" s="99" t="str">
        <x:v>名词</x:v>
      </x:c>
      <x:c r="C140" s="99" t="n">
        <x:v>35</x:v>
      </x:c>
      <x:c r="D140" s="99" t="str">
        <x:v>billion</x:v>
      </x:c>
      <x:c r="E140" s="99" t="str">
        <x:v>/ˈbɪljən/</x:v>
      </x:c>
      <x:c r="F140" s="99" t="str">
        <x:v>十亿（数词，此处兼作名词）</x:v>
      </x:c>
      <x:c r="G140" s="99" t="str">
        <x:v>35. billion /ˈbɪljən/ 十亿（数词，此处兼作名词）</x:v>
      </x:c>
    </x:row>
    <x:row r="141" ht="18" customHeight="1">
      <x:c r="A141" s="99" t="str">
        <x:v>B</x:v>
      </x:c>
      <x:c r="B141" s="99" t="str">
        <x:v>名词</x:v>
      </x:c>
      <x:c r="C141" s="99" t="n">
        <x:v>36</x:v>
      </x:c>
      <x:c r="D141" s="99" t="str">
        <x:v>birth</x:v>
      </x:c>
      <x:c r="E141" s="99" t="str">
        <x:v>/bɜːθ/</x:v>
      </x:c>
      <x:c r="F141" s="99" t="str">
        <x:v>出生</x:v>
      </x:c>
      <x:c r="G141" s="99" t="str">
        <x:v>36. birth /bɜːθ/ 出生</x:v>
      </x:c>
    </x:row>
    <x:row r="142" ht="18" customHeight="1">
      <x:c r="A142" s="99" t="str">
        <x:v>B</x:v>
      </x:c>
      <x:c r="B142" s="99" t="str">
        <x:v>名词</x:v>
      </x:c>
      <x:c r="C142" s="99" t="n">
        <x:v>37</x:v>
      </x:c>
      <x:c r="D142" s="99" t="str">
        <x:v>bowl</x:v>
      </x:c>
      <x:c r="E142" s="99" t="str">
        <x:v>/bəʊl/</x:v>
      </x:c>
      <x:c r="F142" s="99" t="str">
        <x:v>碗</x:v>
      </x:c>
      <x:c r="G142" s="99" t="str">
        <x:v>37. bowl /bəʊl/ 碗</x:v>
      </x:c>
    </x:row>
    <x:row r="143" ht="18" customHeight="1">
      <x:c r="A143" s="99" t="str">
        <x:v>B</x:v>
      </x:c>
      <x:c r="B143" s="99" t="str">
        <x:v>名词</x:v>
      </x:c>
      <x:c r="C143" s="99" t="n">
        <x:v>38</x:v>
      </x:c>
      <x:c r="D143" s="99" t="str">
        <x:v>brown</x:v>
      </x:c>
      <x:c r="E143" s="99" t="str">
        <x:v>/braʊn/</x:v>
      </x:c>
      <x:c r="F143" s="99" t="str">
        <x:v>棕色（兼作形容词）</x:v>
      </x:c>
      <x:c r="G143" s="99" t="str">
        <x:v>38. brown /braʊn/ 棕色（兼作形容词）</x:v>
      </x:c>
    </x:row>
    <x:row r="144" ht="18" customHeight="1">
      <x:c r="A144" s="99" t="str">
        <x:v>B</x:v>
      </x:c>
      <x:c r="B144" s="99" t="str">
        <x:v>动词</x:v>
      </x:c>
      <x:c r="C144" s="99" t="n">
        <x:v>1</x:v>
      </x:c>
      <x:c r="D144" s="99" t="str">
        <x:v>beat</x:v>
      </x:c>
      <x:c r="E144" s="99" t="str">
        <x:v>/biːt/</x:v>
      </x:c>
      <x:c r="F144" s="99" t="str">
        <x:v>(beat, beaten) 打败；战胜</x:v>
      </x:c>
      <x:c r="G144" s="99" t="str">
        <x:v>1. beat /biːt/ (beat, beaten) 打败；战胜</x:v>
      </x:c>
    </x:row>
    <x:row r="145" ht="18" customHeight="1">
      <x:c r="A145" s="99" t="str">
        <x:v>B</x:v>
      </x:c>
      <x:c r="B145" s="99" t="str">
        <x:v>动词</x:v>
      </x:c>
      <x:c r="C145" s="99" t="n">
        <x:v>2</x:v>
      </x:c>
      <x:c r="D145" s="99" t="str">
        <x:v>become</x:v>
      </x:c>
      <x:c r="E145" s="99" t="str">
        <x:v>/bɪˈkʌm/</x:v>
      </x:c>
      <x:c r="F145" s="99" t="str">
        <x:v>(became, become) 成为</x:v>
      </x:c>
      <x:c r="G145" s="99" t="str">
        <x:v>2. become /bɪˈkʌm/ (became, become) 成为</x:v>
      </x:c>
    </x:row>
    <x:row r="146" ht="18" customHeight="1">
      <x:c r="A146" s="99" t="str">
        <x:v>B</x:v>
      </x:c>
      <x:c r="B146" s="99" t="str">
        <x:v>动词</x:v>
      </x:c>
      <x:c r="C146" s="99" t="n">
        <x:v>3</x:v>
      </x:c>
      <x:c r="D146" s="99" t="str">
        <x:v>begin</x:v>
      </x:c>
      <x:c r="E146" s="99" t="str">
        <x:v>/bɪˈɡɪn/</x:v>
      </x:c>
      <x:c r="F146" s="99" t="str">
        <x:v>开始</x:v>
      </x:c>
      <x:c r="G146" s="99" t="str">
        <x:v>3. begin /bɪˈɡɪn/ 开始</x:v>
      </x:c>
    </x:row>
    <x:row r="147" ht="18" customHeight="1">
      <x:c r="A147" s="99" t="str">
        <x:v>B</x:v>
      </x:c>
      <x:c r="B147" s="99" t="str">
        <x:v>动词</x:v>
      </x:c>
      <x:c r="C147" s="99" t="n">
        <x:v>4</x:v>
      </x:c>
      <x:c r="D147" s="99" t="str">
        <x:v>believe</x:v>
      </x:c>
      <x:c r="E147" s="99" t="str">
        <x:v>/bɪˈliːv/</x:v>
      </x:c>
      <x:c r="F147" s="99" t="str">
        <x:v>相信</x:v>
      </x:c>
      <x:c r="G147" s="99" t="str">
        <x:v>4. believe /bɪˈliːv/ 相信</x:v>
      </x:c>
    </x:row>
    <x:row r="148" ht="18" customHeight="1">
      <x:c r="A148" s="99" t="str">
        <x:v>B</x:v>
      </x:c>
      <x:c r="B148" s="99" t="str">
        <x:v>动词</x:v>
      </x:c>
      <x:c r="C148" s="99" t="n">
        <x:v>5</x:v>
      </x:c>
      <x:c r="D148" s="99" t="str">
        <x:v>bite</x:v>
      </x:c>
      <x:c r="E148" s="99" t="str">
        <x:v>/baɪt/</x:v>
      </x:c>
      <x:c r="F148" s="99" t="str">
        <x:v>(bit, bitten) 咬；叮</x:v>
      </x:c>
      <x:c r="G148" s="99" t="str">
        <x:v>5. bite /baɪt/ (bit, bitten) 咬；叮</x:v>
      </x:c>
    </x:row>
    <x:row r="149" ht="18" customHeight="1">
      <x:c r="A149" s="99" t="str">
        <x:v>B</x:v>
      </x:c>
      <x:c r="B149" s="99" t="str">
        <x:v>动词</x:v>
      </x:c>
      <x:c r="C149" s="99" t="n">
        <x:v>6</x:v>
      </x:c>
      <x:c r="D149" s="99" t="str">
        <x:v>book</x:v>
      </x:c>
      <x:c r="E149" s="99" t="str">
        <x:v>/bʊk/</x:v>
      </x:c>
      <x:c r="F149" s="99" t="str">
        <x:v>预订</x:v>
      </x:c>
      <x:c r="G149" s="99" t="str">
        <x:v>6. book /bʊk/ 预订</x:v>
      </x:c>
    </x:row>
    <x:row r="150" ht="18" customHeight="1">
      <x:c r="A150" s="99" t="str">
        <x:v>B</x:v>
      </x:c>
      <x:c r="B150" s="99" t="str">
        <x:v>动词</x:v>
      </x:c>
      <x:c r="C150" s="99" t="n">
        <x:v>7</x:v>
      </x:c>
      <x:c r="D150" s="99" t="str">
        <x:v>bow</x:v>
      </x:c>
      <x:c r="E150" s="99" t="str">
        <x:v>/baʊ/</x:v>
      </x:c>
      <x:c r="F150" s="99" t="str">
        <x:v>鞠躬；弯腰</x:v>
      </x:c>
      <x:c r="G150" s="99" t="str">
        <x:v>7. bow /baʊ/ 鞠躬；弯腰</x:v>
      </x:c>
    </x:row>
    <x:row r="151" ht="18" customHeight="1">
      <x:c r="A151" s="99" t="str">
        <x:v>B</x:v>
      </x:c>
      <x:c r="B151" s="99" t="str">
        <x:v>动词</x:v>
      </x:c>
      <x:c r="C151" s="99" t="n">
        <x:v>8</x:v>
      </x:c>
      <x:c r="D151" s="99" t="str">
        <x:v>bring</x:v>
      </x:c>
      <x:c r="E151" s="99" t="str">
        <x:v>/brɪŋ/</x:v>
      </x:c>
      <x:c r="F151" s="99" t="str">
        <x:v>(brought, brought) 带来</x:v>
      </x:c>
      <x:c r="G151" s="99" t="str">
        <x:v>8. bring /brɪŋ/ (brought, brought) 带来</x:v>
      </x:c>
    </x:row>
    <x:row r="152" ht="18" customHeight="1">
      <x:c r="A152" s="99" t="str">
        <x:v>B</x:v>
      </x:c>
      <x:c r="B152" s="99" t="str">
        <x:v>动词</x:v>
      </x:c>
      <x:c r="C152" s="99" t="n">
        <x:v>9</x:v>
      </x:c>
      <x:c r="D152" s="99" t="str">
        <x:v>build</x:v>
      </x:c>
      <x:c r="E152" s="99" t="str">
        <x:v>/bɪld/</x:v>
      </x:c>
      <x:c r="F152" s="99" t="str">
        <x:v>(built, built) 建造</x:v>
      </x:c>
      <x:c r="G152" s="99" t="str">
        <x:v>9. build /bɪld/ (built, built) 建造</x:v>
      </x:c>
    </x:row>
    <x:row r="153" ht="18" customHeight="1">
      <x:c r="A153" s="99" t="str">
        <x:v>B</x:v>
      </x:c>
      <x:c r="B153" s="99" t="str">
        <x:v>动词</x:v>
      </x:c>
      <x:c r="C153" s="99" t="n">
        <x:v>10</x:v>
      </x:c>
      <x:c r="D153" s="99" t="str">
        <x:v>buy</x:v>
      </x:c>
      <x:c r="E153" s="99" t="str">
        <x:v>/baɪ/</x:v>
      </x:c>
      <x:c r="F153" s="99" t="str">
        <x:v>买</x:v>
      </x:c>
      <x:c r="G153" s="99" t="str">
        <x:v>10. buy /baɪ/ 买</x:v>
      </x:c>
    </x:row>
    <x:row r="154" ht="18" customHeight="1">
      <x:c r="A154" s="99" t="str">
        <x:v>B</x:v>
      </x:c>
      <x:c r="B154" s="99" t="str">
        <x:v>形容词</x:v>
      </x:c>
      <x:c r="C154" s="99" t="n">
        <x:v>1</x:v>
      </x:c>
      <x:c r="D154" s="99" t="str">
        <x:v>bad</x:v>
      </x:c>
      <x:c r="E154" s="99" t="str">
        <x:v>/bæd/</x:v>
      </x:c>
      <x:c r="F154" s="99" t="str">
        <x:v>坏的；不好的</x:v>
      </x:c>
      <x:c r="G154" s="99" t="str">
        <x:v>1. bad /bæd/ 坏的；不好的</x:v>
      </x:c>
    </x:row>
    <x:row r="155" ht="18" customHeight="1">
      <x:c r="A155" s="99" t="str">
        <x:v>B</x:v>
      </x:c>
      <x:c r="B155" s="99" t="str">
        <x:v>形容词</x:v>
      </x:c>
      <x:c r="C155" s="99" t="n">
        <x:v>2</x:v>
      </x:c>
      <x:c r="D155" s="99" t="str">
        <x:v>basic</x:v>
      </x:c>
      <x:c r="E155" s="99" t="str">
        <x:v>/ˈbeɪsɪk/</x:v>
      </x:c>
      <x:c r="F155" s="99" t="str">
        <x:v>主要的；基础的</x:v>
      </x:c>
      <x:c r="G155" s="99" t="str">
        <x:v>2. basic /ˈbeɪsɪk/ 主要的；基础的</x:v>
      </x:c>
    </x:row>
    <x:row r="156" ht="18" customHeight="1">
      <x:c r="A156" s="99" t="str">
        <x:v>B</x:v>
      </x:c>
      <x:c r="B156" s="99" t="str">
        <x:v>形容词</x:v>
      </x:c>
      <x:c r="C156" s="99" t="n">
        <x:v>3</x:v>
      </x:c>
      <x:c r="D156" s="99" t="str">
        <x:v>beautiful</x:v>
      </x:c>
      <x:c r="E156" s="99" t="str">
        <x:v>/ˈbjuːtɪfl/</x:v>
      </x:c>
      <x:c r="F156" s="99" t="str">
        <x:v>美的；美丽的；漂亮的</x:v>
      </x:c>
      <x:c r="G156" s="99" t="str">
        <x:v>3. beautiful /ˈbjuːtɪfl/ 美的；美丽的；漂亮的</x:v>
      </x:c>
    </x:row>
    <x:row r="157" ht="18" customHeight="1">
      <x:c r="A157" s="99" t="str">
        <x:v>B</x:v>
      </x:c>
      <x:c r="B157" s="99" t="str">
        <x:v>形容词</x:v>
      </x:c>
      <x:c r="C157" s="99" t="n">
        <x:v>4</x:v>
      </x:c>
      <x:c r="D157" s="99" t="str">
        <x:v>best</x:v>
      </x:c>
      <x:c r="E157" s="99" t="str">
        <x:v>/best/</x:v>
      </x:c>
      <x:c r="F157" s="99" t="str">
        <x:v>最好的</x:v>
      </x:c>
      <x:c r="G157" s="99" t="str">
        <x:v>4. best /best/ 最好的</x:v>
      </x:c>
    </x:row>
    <x:row r="158" ht="18" customHeight="1">
      <x:c r="A158" s="99" t="str">
        <x:v>B</x:v>
      </x:c>
      <x:c r="B158" s="99" t="str">
        <x:v>形容词</x:v>
      </x:c>
      <x:c r="C158" s="99" t="n">
        <x:v>5</x:v>
      </x:c>
      <x:c r="D158" s="99" t="str">
        <x:v>big</x:v>
      </x:c>
      <x:c r="E158" s="99" t="str">
        <x:v>/bɪɡ/</x:v>
      </x:c>
      <x:c r="F158" s="99" t="str">
        <x:v>大的</x:v>
      </x:c>
      <x:c r="G158" s="99" t="str">
        <x:v>5. big /bɪɡ/ 大的</x:v>
      </x:c>
    </x:row>
    <x:row r="159" ht="18" customHeight="1">
      <x:c r="A159" s="99" t="str">
        <x:v>B</x:v>
      </x:c>
      <x:c r="B159" s="99" t="str">
        <x:v>形容词</x:v>
      </x:c>
      <x:c r="C159" s="99" t="n">
        <x:v>6</x:v>
      </x:c>
      <x:c r="D159" s="99" t="str">
        <x:v>black</x:v>
      </x:c>
      <x:c r="E159" s="99" t="str">
        <x:v>/blæk/</x:v>
      </x:c>
      <x:c r="F159" s="99" t="str">
        <x:v>黑色的</x:v>
      </x:c>
      <x:c r="G159" s="99" t="str">
        <x:v>6. black /blæk/ 黑色的</x:v>
      </x:c>
    </x:row>
    <x:row r="160" ht="18" customHeight="1">
      <x:c r="A160" s="99" t="str">
        <x:v>B</x:v>
      </x:c>
      <x:c r="B160" s="99" t="str">
        <x:v>形容词</x:v>
      </x:c>
      <x:c r="C160" s="99" t="n">
        <x:v>7</x:v>
      </x:c>
      <x:c r="D160" s="99" t="str">
        <x:v>blue</x:v>
      </x:c>
      <x:c r="E160" s="99" t="str">
        <x:v>/bluː/</x:v>
      </x:c>
      <x:c r="F160" s="99" t="str">
        <x:v>蓝色的</x:v>
      </x:c>
      <x:c r="G160" s="99" t="str">
        <x:v>7. blue /bluː/ 蓝色的</x:v>
      </x:c>
    </x:row>
    <x:row r="161" ht="18" customHeight="1">
      <x:c r="A161" s="99" t="str">
        <x:v>B</x:v>
      </x:c>
      <x:c r="B161" s="99" t="str">
        <x:v>形容词</x:v>
      </x:c>
      <x:c r="C161" s="99" t="n">
        <x:v>8</x:v>
      </x:c>
      <x:c r="D161" s="99" t="str">
        <x:v>bored</x:v>
      </x:c>
      <x:c r="E161" s="99" t="str">
        <x:v>/bɔːd/</x:v>
      </x:c>
      <x:c r="F161" s="99" t="str">
        <x:v>厌烦的；厌倦的</x:v>
      </x:c>
      <x:c r="G161" s="99" t="str">
        <x:v>8. bored /bɔːd/ 厌烦的；厌倦的</x:v>
      </x:c>
    </x:row>
    <x:row r="162" ht="18" customHeight="1">
      <x:c r="A162" s="99" t="str">
        <x:v>B</x:v>
      </x:c>
      <x:c r="B162" s="99" t="str">
        <x:v>形容词</x:v>
      </x:c>
      <x:c r="C162" s="99" t="n">
        <x:v>9</x:v>
      </x:c>
      <x:c r="D162" s="99" t="str">
        <x:v>boring</x:v>
      </x:c>
      <x:c r="E162" s="99" t="str">
        <x:v>/ˈbɔːrɪŋ/</x:v>
      </x:c>
      <x:c r="F162" s="99" t="str">
        <x:v>烦人的；无聊的</x:v>
      </x:c>
      <x:c r="G162" s="99" t="str">
        <x:v>9. boring /ˈbɔːrɪŋ/ 烦人的；无聊的</x:v>
      </x:c>
    </x:row>
    <x:row r="163" ht="18" customHeight="1">
      <x:c r="A163" s="99" t="str">
        <x:v>B</x:v>
      </x:c>
      <x:c r="B163" s="99" t="str">
        <x:v>形容词</x:v>
      </x:c>
      <x:c r="C163" s="99" t="n">
        <x:v>10</x:v>
      </x:c>
      <x:c r="D163" s="99" t="str">
        <x:v>born</x:v>
      </x:c>
      <x:c r="E163" s="99" t="str">
        <x:v>/bɔːn/</x:v>
      </x:c>
      <x:c r="F163" s="99" t="str">
        <x:v>出生的（动词bear的过去分词）</x:v>
      </x:c>
      <x:c r="G163" s="99" t="str">
        <x:v>10. born /bɔːn/ 出生的（动词bear的过去分词）</x:v>
      </x:c>
    </x:row>
    <x:row r="164" ht="18" customHeight="1">
      <x:c r="A164" s="99" t="str">
        <x:v>B</x:v>
      </x:c>
      <x:c r="B164" s="99" t="str">
        <x:v>形容词</x:v>
      </x:c>
      <x:c r="C164" s="99" t="n">
        <x:v>11</x:v>
      </x:c>
      <x:c r="D164" s="99" t="str">
        <x:v>brave</x:v>
      </x:c>
      <x:c r="E164" s="99" t="str">
        <x:v>/breɪv/</x:v>
      </x:c>
      <x:c r="F164" s="99" t="str">
        <x:v>勇敢的；无畏的</x:v>
      </x:c>
      <x:c r="G164" s="99" t="str">
        <x:v>11. brave /breɪv/ 勇敢的；无畏的</x:v>
      </x:c>
    </x:row>
    <x:row r="165" ht="18" customHeight="1">
      <x:c r="A165" s="99" t="str">
        <x:v>B</x:v>
      </x:c>
      <x:c r="B165" s="99" t="str">
        <x:v>形容词</x:v>
      </x:c>
      <x:c r="C165" s="99" t="n">
        <x:v>12</x:v>
      </x:c>
      <x:c r="D165" s="99" t="str">
        <x:v>bright</x:v>
      </x:c>
      <x:c r="E165" s="99" t="str">
        <x:v>/braɪt/</x:v>
      </x:c>
      <x:c r="F165" s="99" t="str">
        <x:v>欢快的；明亮的</x:v>
      </x:c>
      <x:c r="G165" s="99" t="str">
        <x:v>12. bright /braɪt/ 欢快的；明亮的</x:v>
      </x:c>
    </x:row>
    <x:row r="166" ht="18" customHeight="1">
      <x:c r="A166" s="99" t="str">
        <x:v>B</x:v>
      </x:c>
      <x:c r="B166" s="99" t="str">
        <x:v>形容词</x:v>
      </x:c>
      <x:c r="C166" s="99" t="n">
        <x:v>13</x:v>
      </x:c>
      <x:c r="D166" s="99" t="str">
        <x:v>British</x:v>
      </x:c>
      <x:c r="E166" s="99" t="str">
        <x:v>/ˈbrɪtɪʃ/</x:v>
      </x:c>
      <x:c r="F166" s="99" t="str">
        <x:v>英国的；英国人的</x:v>
      </x:c>
      <x:c r="G166" s="99" t="str">
        <x:v>13. British /ˈbrɪtɪʃ/ 英国的；英国人的</x:v>
      </x:c>
    </x:row>
    <x:row r="167" ht="18" customHeight="1">
      <x:c r="A167" s="99" t="str">
        <x:v>B</x:v>
      </x:c>
      <x:c r="B167" s="99" t="str">
        <x:v>形容词</x:v>
      </x:c>
      <x:c r="C167" s="99" t="n">
        <x:v>14</x:v>
      </x:c>
      <x:c r="D167" s="99" t="str">
        <x:v>broken</x:v>
      </x:c>
      <x:c r="E167" s="99" t="str">
        <x:v>/ˈbrəʊkən/</x:v>
      </x:c>
      <x:c r="F167" s="99" t="str">
        <x:v>破碎的</x:v>
      </x:c>
      <x:c r="G167" s="99" t="str">
        <x:v>14. broken /ˈbrəʊkən/ 破碎的</x:v>
      </x:c>
    </x:row>
    <x:row r="168" ht="18" customHeight="1">
      <x:c r="A168" s="99" t="str">
        <x:v>B</x:v>
      </x:c>
      <x:c r="B168" s="99" t="str">
        <x:v>形容词</x:v>
      </x:c>
      <x:c r="C168" s="99" t="n">
        <x:v>15</x:v>
      </x:c>
      <x:c r="D168" s="99" t="str">
        <x:v>brown</x:v>
      </x:c>
      <x:c r="E168" s="99" t="str">
        <x:v>/braʊn/</x:v>
      </x:c>
      <x:c r="F168" s="99" t="str">
        <x:v>棕色的</x:v>
      </x:c>
      <x:c r="G168" s="99" t="str">
        <x:v>15. brown /braʊn/ 棕色的</x:v>
      </x:c>
    </x:row>
    <x:row r="169" ht="18" customHeight="1">
      <x:c r="A169" s="99" t="str">
        <x:v>B</x:v>
      </x:c>
      <x:c r="B169" s="99" t="str">
        <x:v>形容词</x:v>
      </x:c>
      <x:c r="C169" s="99" t="n">
        <x:v>16</x:v>
      </x:c>
      <x:c r="D169" s="99" t="str">
        <x:v>busy</x:v>
      </x:c>
      <x:c r="E169" s="99" t="str">
        <x:v>/ˈbɪzi/</x:v>
      </x:c>
      <x:c r="F169" s="99" t="str">
        <x:v>忙的；繁忙的</x:v>
      </x:c>
      <x:c r="G169" s="99" t="str">
        <x:v>16. busy /ˈbɪzi/ 忙的；繁忙的</x:v>
      </x:c>
    </x:row>
    <x:row r="170" ht="18" customHeight="1">
      <x:c r="A170" s="99" t="str">
        <x:v>B</x:v>
      </x:c>
      <x:c r="B170" s="99" t="str">
        <x:v>形容词</x:v>
      </x:c>
      <x:c r="C170" s="99" t="n">
        <x:v>17</x:v>
      </x:c>
      <x:c r="D170" s="99" t="str">
        <x:v>better</x:v>
      </x:c>
      <x:c r="E170" s="99" t="str">
        <x:v>/ˈbetə/</x:v>
      </x:c>
      <x:c r="F170" s="99" t="str">
        <x:v>更好的（兼作副词）</x:v>
      </x:c>
      <x:c r="G170" s="99" t="str">
        <x:v>17. better /ˈbetə/ 更好的（兼作副词）</x:v>
      </x:c>
    </x:row>
    <x:row r="171" ht="18" customHeight="1">
      <x:c r="A171" s="99" t="str">
        <x:v>B</x:v>
      </x:c>
      <x:c r="B171" s="99" t="str">
        <x:v>形容词</x:v>
      </x:c>
      <x:c r="C171" s="99" t="n">
        <x:v>18</x:v>
      </x:c>
      <x:c r="D171" s="99" t="str">
        <x:v>black-and-white</x:v>
      </x:c>
      <x:c r="E171" s="99" t="str">
        <x:v>/ˌblæk ənd ˈwaɪt/</x:v>
      </x:c>
      <x:c r="F171" s="99" t="str">
        <x:v>黑白的</x:v>
      </x:c>
      <x:c r="G171" s="99" t="str">
        <x:v>18. black-and-white /ˌblæk ənd ˈwaɪt/ 黑白的</x:v>
      </x:c>
    </x:row>
    <x:row r="172" ht="18" customHeight="1">
      <x:c r="A172" s="99" t="str">
        <x:v>B</x:v>
      </x:c>
      <x:c r="B172" s="99" t="str">
        <x:v>副词</x:v>
      </x:c>
      <x:c r="C172" s="99" t="n">
        <x:v>1</x:v>
      </x:c>
      <x:c r="D172" s="99" t="str">
        <x:v>back</x:v>
      </x:c>
      <x:c r="E172" s="99" t="str">
        <x:v>/bæk/</x:v>
      </x:c>
      <x:c r="F172" s="99" t="str">
        <x:v>向后；回到；返回</x:v>
      </x:c>
      <x:c r="G172" s="99" t="str">
        <x:v>1. back /bæk/ 向后；回到；返回</x:v>
      </x:c>
    </x:row>
    <x:row r="173" ht="18" customHeight="1">
      <x:c r="A173" s="99" t="str">
        <x:v>B</x:v>
      </x:c>
      <x:c r="B173" s="99" t="str">
        <x:v>副词</x:v>
      </x:c>
      <x:c r="C173" s="99" t="n">
        <x:v>2</x:v>
      </x:c>
      <x:c r="D173" s="99" t="str">
        <x:v>better</x:v>
      </x:c>
      <x:c r="E173" s="99" t="str">
        <x:v>/ˈbetə/</x:v>
      </x:c>
      <x:c r="F173" s="99" t="str">
        <x:v>更好地（兼作形容词）</x:v>
      </x:c>
      <x:c r="G173" s="99" t="str">
        <x:v>2. better /ˈbetə/ 更好地（兼作形容词）</x:v>
      </x:c>
    </x:row>
    <x:row r="174" ht="18" customHeight="1">
      <x:c r="A174" s="99" t="str">
        <x:v>B</x:v>
      </x:c>
      <x:c r="B174" s="99" t="str">
        <x:v>介词</x:v>
      </x:c>
      <x:c r="C174" s="99" t="n">
        <x:v>1</x:v>
      </x:c>
      <x:c r="D174" s="99" t="str">
        <x:v>before</x:v>
      </x:c>
      <x:c r="E174" s="99" t="str">
        <x:v>/bɪˈfɔː/</x:v>
      </x:c>
      <x:c r="F174" s="99" t="str">
        <x:v>在……之前</x:v>
      </x:c>
      <x:c r="G174" s="99" t="str">
        <x:v>1. before /bɪˈfɔː/ 在……之前</x:v>
      </x:c>
    </x:row>
    <x:row r="175" ht="18" customHeight="1">
      <x:c r="A175" s="99" t="str">
        <x:v>B</x:v>
      </x:c>
      <x:c r="B175" s="99" t="str">
        <x:v>介词</x:v>
      </x:c>
      <x:c r="C175" s="99" t="n">
        <x:v>2</x:v>
      </x:c>
      <x:c r="D175" s="99" t="str">
        <x:v>behind</x:v>
      </x:c>
      <x:c r="E175" s="99" t="str">
        <x:v>/bɪˈhaɪnd/</x:v>
      </x:c>
      <x:c r="F175" s="99" t="str">
        <x:v>在……后面</x:v>
      </x:c>
      <x:c r="G175" s="99" t="str">
        <x:v>2. behind /bɪˈhaɪnd/ 在……后面</x:v>
      </x:c>
    </x:row>
    <x:row r="176" ht="18" customHeight="1">
      <x:c r="A176" s="99" t="str">
        <x:v>B</x:v>
      </x:c>
      <x:c r="B176" s="99" t="str">
        <x:v>介词</x:v>
      </x:c>
      <x:c r="C176" s="99" t="n">
        <x:v>3</x:v>
      </x:c>
      <x:c r="D176" s="99" t="str">
        <x:v>between</x:v>
      </x:c>
      <x:c r="E176" s="99" t="str">
        <x:v>/bɪˈtwiːn/</x:v>
      </x:c>
      <x:c r="F176" s="99" t="str">
        <x:v>在……之间</x:v>
      </x:c>
      <x:c r="G176" s="99" t="str">
        <x:v>3. between /bɪˈtwiːn/ 在……之间</x:v>
      </x:c>
    </x:row>
    <x:row r="177" ht="18" customHeight="1">
      <x:c r="A177" s="99" t="str">
        <x:v>B</x:v>
      </x:c>
      <x:c r="B177" s="99" t="str">
        <x:v>介词</x:v>
      </x:c>
      <x:c r="C177" s="99" t="n">
        <x:v>4</x:v>
      </x:c>
      <x:c r="D177" s="99" t="str">
        <x:v>by</x:v>
      </x:c>
      <x:c r="E177" s="99" t="str">
        <x:v>/baɪ/</x:v>
      </x:c>
      <x:c r="F177" s="99" t="str">
        <x:v>用；靠；乘（交通工具）；由……创作；被；由</x:v>
      </x:c>
      <x:c r="G177" s="99" t="str">
        <x:v>4. by /baɪ/ 用；靠；乘（交通工具）；由……创作；被；由</x:v>
      </x:c>
    </x:row>
    <x:row r="178" ht="18" customHeight="1">
      <x:c r="A178" s="99" t="str">
        <x:v>B</x:v>
      </x:c>
      <x:c r="B178" s="99" t="str">
        <x:v>连词</x:v>
      </x:c>
      <x:c r="C178" s="99" t="n">
        <x:v>1</x:v>
      </x:c>
      <x:c r="D178" s="99" t="str">
        <x:v>because</x:v>
      </x:c>
      <x:c r="E178" s="99" t="str">
        <x:v>/bɪˈkɒz/</x:v>
      </x:c>
      <x:c r="F178" s="99" t="str">
        <x:v>因为</x:v>
      </x:c>
      <x:c r="G178" s="99" t="str">
        <x:v>1. because /bɪˈkɒz/ 因为</x:v>
      </x:c>
    </x:row>
    <x:row r="179" ht="18" customHeight="1">
      <x:c r="A179" s="99" t="str">
        <x:v>B</x:v>
      </x:c>
      <x:c r="B179" s="99" t="str">
        <x:v>连词</x:v>
      </x:c>
      <x:c r="C179" s="99" t="n">
        <x:v>2</x:v>
      </x:c>
      <x:c r="D179" s="99" t="str">
        <x:v>but</x:v>
      </x:c>
      <x:c r="E179" s="99" t="str">
        <x:v>/bʌt/</x:v>
      </x:c>
      <x:c r="F179" s="99" t="str">
        <x:v>但是，然而</x:v>
      </x:c>
      <x:c r="G179" s="99" t="str">
        <x:v>2. but /bʌt/ 但是，然而</x:v>
      </x:c>
    </x:row>
    <x:row r="180" ht="18" customHeight="1">
      <x:c r="A180" s="99" t="str">
        <x:v>B</x:v>
      </x:c>
      <x:c r="B180" s="99" t="str">
        <x:v>连词</x:v>
      </x:c>
      <x:c r="C180" s="99" t="n">
        <x:v>3</x:v>
      </x:c>
      <x:c r="D180" s="99" t="str">
        <x:v>both</x:v>
      </x:c>
      <x:c r="E180" s="99" t="str">
        <x:v>/bəʊθ/</x:v>
      </x:c>
      <x:c r="F180" s="99" t="str">
        <x:v>两个；两者（兼作代词）</x:v>
      </x:c>
      <x:c r="G180" s="99" t="str">
        <x:v>3. both /bəʊθ/ 两个；两者（兼作代词）</x:v>
      </x:c>
    </x:row>
    <x:row r="181" ht="18" customHeight="1">
      <x:c r="A181" s="99" t="str">
        <x:v>B</x:v>
      </x:c>
      <x:c r="B181" s="99" t="str">
        <x:v>代词</x:v>
      </x:c>
      <x:c r="C181" s="99" t="n">
        <x:v>1</x:v>
      </x:c>
      <x:c r="D181" s="99" t="str">
        <x:v>both</x:v>
      </x:c>
      <x:c r="E181" s="99" t="str">
        <x:v>/bəʊθ/</x:v>
      </x:c>
      <x:c r="F181" s="99" t="str">
        <x:v>两个；两者（兼作连词）</x:v>
      </x:c>
      <x:c r="G181" s="99" t="str">
        <x:v>1. both /bəʊθ/ 两个；两者（兼作连词）</x:v>
      </x:c>
    </x:row>
    <x:row r="182" ht="18" customHeight="1">
      <x:c r="A182" s="99" t="str">
        <x:v>B</x:v>
      </x:c>
      <x:c r="B182" s="99" t="str">
        <x:v>数词</x:v>
      </x:c>
      <x:c r="C182" s="99" t="n">
        <x:v>1</x:v>
      </x:c>
      <x:c r="D182" s="99" t="str">
        <x:v>billion</x:v>
      </x:c>
      <x:c r="E182" s="99" t="str">
        <x:v>/ˈbɪljən/</x:v>
      </x:c>
      <x:c r="F182" s="99" t="str">
        <x:v>十亿</x:v>
      </x:c>
      <x:c r="G182" s="99" t="str">
        <x:v>1. billion /ˈbɪljən/ 十亿</x:v>
      </x:c>
    </x:row>
    <x:row r="183" ht="18" customHeight="1">
      <x:c r="A183" s="99" t="str">
        <x:v>B</x:v>
      </x:c>
      <x:c r="B183" s="99" t="str">
        <x:v>感叹词</x:v>
      </x:c>
      <x:c r="C183" s="99" t="n">
        <x:v>1</x:v>
      </x:c>
      <x:c r="D183" s="99" t="str">
        <x:v>bye</x:v>
      </x:c>
      <x:c r="E183" s="99" t="str">
        <x:v>/baɪ/</x:v>
      </x:c>
      <x:c r="F183" s="99" t="str">
        <x:v>再见</x:v>
      </x:c>
      <x:c r="G183" s="99" t="str">
        <x:v>1. bye /baɪ/ 再见</x:v>
      </x:c>
    </x:row>
    <x:row r="184" ht="18" customHeight="1">
      <x:c r="A184" s="99" t="str">
        <x:v>B</x:v>
      </x:c>
      <x:c r="B184" s="99" t="str">
        <x:v>短语</x:v>
      </x:c>
      <x:c r="C184" s="99" t="n">
        <x:v>1</x:v>
      </x:c>
      <x:c r="D184" s="99" t="str">
        <x:v>a</x:v>
      </x:c>
      <x:c r="E184" s="99" t="str"/>
      <x:c r="F184" s="99" t="str">
        <x:v>bit 稍微；有点儿</x:v>
      </x:c>
      <x:c r="G184" s="99" t="str">
        <x:v>1. a bit 稍微；有点儿</x:v>
      </x:c>
    </x:row>
    <x:row r="185" ht="18" customHeight="1">
      <x:c r="A185" s="99" t="str">
        <x:v>B</x:v>
      </x:c>
      <x:c r="B185" s="99" t="str">
        <x:v>短语</x:v>
      </x:c>
      <x:c r="C185" s="99" t="n">
        <x:v>2</x:v>
      </x:c>
      <x:c r="D185" s="99" t="str">
        <x:v>at</x:v>
      </x:c>
      <x:c r="E185" s="99" t="str"/>
      <x:c r="F185" s="99" t="str">
        <x:v>the bottom of... 在……的底部</x:v>
      </x:c>
      <x:c r="G185" s="99" t="str">
        <x:v>2. at the bottom of... 在……的底部</x:v>
      </x:c>
    </x:row>
    <x:row r="186" ht="18" customHeight="1">
      <x:c r="A186" s="99" t="str">
        <x:v>B</x:v>
      </x:c>
      <x:c r="B186" s="99" t="str">
        <x:v>短语</x:v>
      </x:c>
      <x:c r="C186" s="99" t="n">
        <x:v>3</x:v>
      </x:c>
      <x:c r="D186" s="99" t="str">
        <x:v>be</x:v>
      </x:c>
      <x:c r="E186" s="99" t="str"/>
      <x:c r="F186" s="99" t="str">
        <x:v>bad for 对……有害的</x:v>
      </x:c>
      <x:c r="G186" s="99" t="str">
        <x:v>3. be bad for 对……有害的</x:v>
      </x:c>
    </x:row>
    <x:row r="187" ht="18" customHeight="1">
      <x:c r="A187" s="99" t="str">
        <x:v>B</x:v>
      </x:c>
      <x:c r="B187" s="99" t="str">
        <x:v>短语</x:v>
      </x:c>
      <x:c r="C187" s="99" t="n">
        <x:v>4</x:v>
      </x:c>
      <x:c r="D187" s="99" t="str">
        <x:v>be</x:v>
      </x:c>
      <x:c r="E187" s="99" t="str"/>
      <x:c r="F187" s="99" t="str">
        <x:v>famous for 因……而闻名</x:v>
      </x:c>
      <x:c r="G187" s="99" t="str">
        <x:v>4. be famous for 因……而闻名</x:v>
      </x:c>
    </x:row>
    <x:row r="188" ht="18" customHeight="1">
      <x:c r="A188" s="99" t="str">
        <x:v>B</x:v>
      </x:c>
      <x:c r="B188" s="99" t="str">
        <x:v>短语</x:v>
      </x:c>
      <x:c r="C188" s="99" t="n">
        <x:v>5</x:v>
      </x:c>
      <x:c r="D188" s="99" t="str">
        <x:v>go</x:v>
      </x:c>
      <x:c r="E188" s="99" t="str"/>
      <x:c r="F188" s="99" t="str">
        <x:v>back 回去</x:v>
      </x:c>
      <x:c r="G188" s="99" t="str">
        <x:v>5. go back 回去</x:v>
      </x:c>
    </x:row>
    <x:row r="189" ht="18" customHeight="1">
      <x:c r="A189" s="99" t="str">
        <x:v>B</x:v>
      </x:c>
      <x:c r="B189" s="99" t="str">
        <x:v>短语</x:v>
      </x:c>
      <x:c r="C189" s="99" t="n">
        <x:v>6</x:v>
      </x:c>
      <x:c r="D189" s="99" t="str">
        <x:v>go</x:v>
      </x:c>
      <x:c r="E189" s="99" t="str"/>
      <x:c r="F189" s="99" t="str">
        <x:v>to bed 上床睡觉</x:v>
      </x:c>
      <x:c r="G189" s="99" t="str">
        <x:v>6. go to bed 上床睡觉</x:v>
      </x:c>
    </x:row>
    <x:row r="190" ht="18" customHeight="1">
      <x:c r="A190" s="99" t="str">
        <x:v>B</x:v>
      </x:c>
      <x:c r="B190" s="99" t="str">
        <x:v>短语</x:v>
      </x:c>
      <x:c r="C190" s="99" t="n">
        <x:v>7</x:v>
      </x:c>
      <x:c r="D190" s="99" t="str">
        <x:v>have</x:v>
      </x:c>
      <x:c r="E190" s="99" t="str"/>
      <x:c r="F190" s="99" t="str">
        <x:v>breakfast 吃早餐</x:v>
      </x:c>
      <x:c r="G190" s="99" t="str">
        <x:v>7. have breakfast 吃早餐</x:v>
      </x:c>
    </x:row>
    <x:row r="191" ht="18" customHeight="1">
      <x:c r="A191" s="99" t="str">
        <x:v>C</x:v>
      </x:c>
      <x:c r="B191" s="99" t="str">
        <x:v>名词</x:v>
      </x:c>
      <x:c r="C191" s="99" t="n">
        <x:v>1</x:v>
      </x:c>
      <x:c r="D191" s="99" t="str">
        <x:v>cake</x:v>
      </x:c>
      <x:c r="E191" s="99" t="str">
        <x:v>/keɪk/</x:v>
      </x:c>
      <x:c r="F191" s="99" t="str">
        <x:v>蛋糕</x:v>
      </x:c>
      <x:c r="G191" s="99" t="str">
        <x:v>1. cake /keɪk/ 蛋糕</x:v>
      </x:c>
    </x:row>
    <x:row r="192" ht="18" customHeight="1">
      <x:c r="A192" s="99" t="str">
        <x:v>C</x:v>
      </x:c>
      <x:c r="B192" s="99" t="str">
        <x:v>名词</x:v>
      </x:c>
      <x:c r="C192" s="99" t="n">
        <x:v>2</x:v>
      </x:c>
      <x:c r="D192" s="99" t="str">
        <x:v>camera</x:v>
      </x:c>
      <x:c r="E192" s="99" t="str">
        <x:v>/ˈkæmərə/</x:v>
      </x:c>
      <x:c r="F192" s="99" t="str">
        <x:v>照相机</x:v>
      </x:c>
      <x:c r="G192" s="99" t="str">
        <x:v>2. camera /ˈkæmərə/ 照相机</x:v>
      </x:c>
    </x:row>
    <x:row r="193" ht="18" customHeight="1">
      <x:c r="A193" s="99" t="str">
        <x:v>C</x:v>
      </x:c>
      <x:c r="B193" s="99" t="str">
        <x:v>名词</x:v>
      </x:c>
      <x:c r="C193" s="99" t="n">
        <x:v>3</x:v>
      </x:c>
      <x:c r="D193" s="99" t="str">
        <x:v>camp</x:v>
      </x:c>
      <x:c r="E193" s="99" t="str">
        <x:v>/kæmp/</x:v>
      </x:c>
      <x:c r="F193" s="99" t="str">
        <x:v>营地；帐篷</x:v>
      </x:c>
      <x:c r="G193" s="99" t="str">
        <x:v>3. camp /kæmp/ 营地；帐篷</x:v>
      </x:c>
    </x:row>
    <x:row r="194" ht="18" customHeight="1">
      <x:c r="A194" s="99" t="str">
        <x:v>C</x:v>
      </x:c>
      <x:c r="B194" s="99" t="str">
        <x:v>名词</x:v>
      </x:c>
      <x:c r="C194" s="99" t="n">
        <x:v>4</x:v>
      </x:c>
      <x:c r="D194" s="99" t="str">
        <x:v>Canada</x:v>
      </x:c>
      <x:c r="E194" s="99" t="str">
        <x:v>/ˈkænədə/</x:v>
      </x:c>
      <x:c r="F194" s="99" t="str">
        <x:v>加拿大</x:v>
      </x:c>
      <x:c r="G194" s="99" t="str">
        <x:v>4. Canada /ˈkænədə/ 加拿大</x:v>
      </x:c>
    </x:row>
    <x:row r="195" ht="18" customHeight="1">
      <x:c r="A195" s="99" t="str">
        <x:v>C</x:v>
      </x:c>
      <x:c r="B195" s="99" t="str">
        <x:v>名词</x:v>
      </x:c>
      <x:c r="C195" s="99" t="n">
        <x:v>5</x:v>
      </x:c>
      <x:c r="D195" s="99" t="str">
        <x:v>candle</x:v>
      </x:c>
      <x:c r="E195" s="99" t="str">
        <x:v>/ˈkændl/</x:v>
      </x:c>
      <x:c r="F195" s="99" t="str">
        <x:v>蜡烛</x:v>
      </x:c>
      <x:c r="G195" s="99" t="str">
        <x:v>5. candle /ˈkændl/ 蜡烛</x:v>
      </x:c>
    </x:row>
    <x:row r="196" ht="18" customHeight="1">
      <x:c r="A196" s="99" t="str">
        <x:v>C</x:v>
      </x:c>
      <x:c r="B196" s="99" t="str">
        <x:v>名词</x:v>
      </x:c>
      <x:c r="C196" s="99" t="n">
        <x:v>6</x:v>
      </x:c>
      <x:c r="D196" s="99" t="str">
        <x:v>candy</x:v>
      </x:c>
      <x:c r="E196" s="99" t="str">
        <x:v>/ˈkændi/</x:v>
      </x:c>
      <x:c r="F196" s="99" t="str">
        <x:v>糖果</x:v>
      </x:c>
      <x:c r="G196" s="99" t="str">
        <x:v>6. candy /ˈkændi/ 糖果</x:v>
      </x:c>
    </x:row>
    <x:row r="197" ht="18" customHeight="1">
      <x:c r="A197" s="99" t="str">
        <x:v>C</x:v>
      </x:c>
      <x:c r="B197" s="99" t="str">
        <x:v>名词</x:v>
      </x:c>
      <x:c r="C197" s="99" t="n">
        <x:v>7</x:v>
      </x:c>
      <x:c r="D197" s="99" t="str">
        <x:v>cap</x:v>
      </x:c>
      <x:c r="E197" s="99" t="str">
        <x:v>/kæp/</x:v>
      </x:c>
      <x:c r="F197" s="99" t="str">
        <x:v>帽子</x:v>
      </x:c>
      <x:c r="G197" s="99" t="str">
        <x:v>7. cap /kæp/ 帽子</x:v>
      </x:c>
    </x:row>
    <x:row r="198" ht="18" customHeight="1">
      <x:c r="A198" s="99" t="str">
        <x:v>C</x:v>
      </x:c>
      <x:c r="B198" s="99" t="str">
        <x:v>名词</x:v>
      </x:c>
      <x:c r="C198" s="99" t="n">
        <x:v>8</x:v>
      </x:c>
      <x:c r="D198" s="99" t="str">
        <x:v>capital</x:v>
      </x:c>
      <x:c r="E198" s="99" t="str">
        <x:v>/ˈkæpɪtl/</x:v>
      </x:c>
      <x:c r="F198" s="99" t="str">
        <x:v>首都；省会</x:v>
      </x:c>
      <x:c r="G198" s="99" t="str">
        <x:v>8. capital /ˈkæpɪtl/ 首都；省会</x:v>
      </x:c>
    </x:row>
    <x:row r="199" ht="18" customHeight="1">
      <x:c r="A199" s="99" t="str">
        <x:v>C</x:v>
      </x:c>
      <x:c r="B199" s="99" t="str">
        <x:v>名词</x:v>
      </x:c>
      <x:c r="C199" s="99" t="n">
        <x:v>9</x:v>
      </x:c>
      <x:c r="D199" s="99" t="str">
        <x:v>car</x:v>
      </x:c>
      <x:c r="E199" s="99" t="str">
        <x:v>/kɑː/</x:v>
      </x:c>
      <x:c r="F199" s="99" t="str">
        <x:v>汽车；轿车</x:v>
      </x:c>
      <x:c r="G199" s="99" t="str">
        <x:v>9. car /kɑː/ 汽车；轿车</x:v>
      </x:c>
    </x:row>
    <x:row r="200" ht="18" customHeight="1">
      <x:c r="A200" s="99" t="str">
        <x:v>C</x:v>
      </x:c>
      <x:c r="B200" s="99" t="str">
        <x:v>名词</x:v>
      </x:c>
      <x:c r="C200" s="99" t="n">
        <x:v>10</x:v>
      </x:c>
      <x:c r="D200" s="99" t="str">
        <x:v>card</x:v>
      </x:c>
      <x:c r="E200" s="99" t="str">
        <x:v>/kɑːd/</x:v>
      </x:c>
      <x:c r="F200" s="99" t="str">
        <x:v>卡片</x:v>
      </x:c>
      <x:c r="G200" s="99" t="str">
        <x:v>10. card /kɑːd/ 卡片</x:v>
      </x:c>
    </x:row>
    <x:row r="201" ht="18" customHeight="1">
      <x:c r="A201" s="99" t="str">
        <x:v>C</x:v>
      </x:c>
      <x:c r="B201" s="99" t="str">
        <x:v>名词</x:v>
      </x:c>
      <x:c r="C201" s="99" t="n">
        <x:v>11</x:v>
      </x:c>
      <x:c r="D201" s="99" t="str">
        <x:v>carrot</x:v>
      </x:c>
      <x:c r="E201" s="99" t="str">
        <x:v>/ˈkærət/</x:v>
      </x:c>
      <x:c r="F201" s="99" t="str">
        <x:v>胡萝卜</x:v>
      </x:c>
      <x:c r="G201" s="99" t="str">
        <x:v>11. carrot /ˈkærət/ 胡萝卜</x:v>
      </x:c>
    </x:row>
    <x:row r="202" ht="18" customHeight="1">
      <x:c r="A202" s="99" t="str">
        <x:v>C</x:v>
      </x:c>
      <x:c r="B202" s="99" t="str">
        <x:v>名词</x:v>
      </x:c>
      <x:c r="C202" s="99" t="n">
        <x:v>12</x:v>
      </x:c>
      <x:c r="D202" s="99" t="str">
        <x:v>cat</x:v>
      </x:c>
      <x:c r="E202" s="99" t="str">
        <x:v>/kæt/</x:v>
      </x:c>
      <x:c r="F202" s="99" t="str">
        <x:v>猫</x:v>
      </x:c>
      <x:c r="G202" s="99" t="str">
        <x:v>12. cat /kæt/ 猫</x:v>
      </x:c>
    </x:row>
    <x:row r="203" ht="18" customHeight="1">
      <x:c r="A203" s="99" t="str">
        <x:v>C</x:v>
      </x:c>
      <x:c r="B203" s="99" t="str">
        <x:v>名词</x:v>
      </x:c>
      <x:c r="C203" s="99" t="n">
        <x:v>13</x:v>
      </x:c>
      <x:c r="D203" s="99" t="str">
        <x:v>CD</x:v>
      </x:c>
      <x:c r="E203" s="99" t="str">
        <x:v>/ˌsiː ˈdiː/</x:v>
      </x:c>
      <x:c r="F203" s="99" t="str">
        <x:v>激光唱片；光盘</x:v>
      </x:c>
      <x:c r="G203" s="99" t="str">
        <x:v>13. CD /ˌsiː ˈdiː/ 激光唱片；光盘</x:v>
      </x:c>
    </x:row>
    <x:row r="204" ht="18" customHeight="1">
      <x:c r="A204" s="99" t="str">
        <x:v>C</x:v>
      </x:c>
      <x:c r="B204" s="99" t="str">
        <x:v>名词</x:v>
      </x:c>
      <x:c r="C204" s="99" t="n">
        <x:v>14</x:v>
      </x:c>
      <x:c r="D204" s="99" t="str">
        <x:v>cent</x:v>
      </x:c>
      <x:c r="E204" s="99" t="str">
        <x:v>/sent/</x:v>
      </x:c>
      <x:c r="F204" s="99" t="str">
        <x:v>分（货币单位）</x:v>
      </x:c>
      <x:c r="G204" s="99" t="str">
        <x:v>14. cent /sent/ 分（货币单位）</x:v>
      </x:c>
    </x:row>
    <x:row r="205" ht="18" customHeight="1">
      <x:c r="A205" s="99" t="str">
        <x:v>C</x:v>
      </x:c>
      <x:c r="B205" s="99" t="str">
        <x:v>名词</x:v>
      </x:c>
      <x:c r="C205" s="99" t="n">
        <x:v>15</x:v>
      </x:c>
      <x:c r="D205" s="99" t="str">
        <x:v>centre (AmE center)</x:v>
      </x:c>
      <x:c r="E205" s="99" t="str">
        <x:v>/ˈsentə(r)/</x:v>
      </x:c>
      <x:c r="F205" s="99" t="str">
        <x:v>中心</x:v>
      </x:c>
      <x:c r="G205" s="99" t="str">
        <x:v>15. centre (AmE center) /ˈsentə(r)/ 中心</x:v>
      </x:c>
    </x:row>
    <x:row r="206" ht="18" customHeight="1">
      <x:c r="A206" s="99" t="str">
        <x:v>C</x:v>
      </x:c>
      <x:c r="B206" s="99" t="str">
        <x:v>名词</x:v>
      </x:c>
      <x:c r="C206" s="99" t="n">
        <x:v>16</x:v>
      </x:c>
      <x:c r="D206" s="99" t="str">
        <x:v>century</x:v>
      </x:c>
      <x:c r="E206" s="99" t="str">
        <x:v>/ˈsentʃəri/</x:v>
      </x:c>
      <x:c r="F206" s="99" t="str">
        <x:v>世纪</x:v>
      </x:c>
      <x:c r="G206" s="99" t="str">
        <x:v>16. century /ˈsentʃəri/ 世纪</x:v>
      </x:c>
    </x:row>
    <x:row r="207" ht="18" customHeight="1">
      <x:c r="A207" s="99" t="str">
        <x:v>C</x:v>
      </x:c>
      <x:c r="B207" s="99" t="str">
        <x:v>名词</x:v>
      </x:c>
      <x:c r="C207" s="99" t="n">
        <x:v>17</x:v>
      </x:c>
      <x:c r="D207" s="99" t="str">
        <x:v>chair</x:v>
      </x:c>
      <x:c r="E207" s="99" t="str">
        <x:v>/tʃeə/</x:v>
      </x:c>
      <x:c r="F207" s="99" t="str">
        <x:v>椅子</x:v>
      </x:c>
      <x:c r="G207" s="99" t="str">
        <x:v>17. chair /tʃeə/ 椅子</x:v>
      </x:c>
    </x:row>
    <x:row r="208" ht="18" customHeight="1">
      <x:c r="A208" s="99" t="str">
        <x:v>C</x:v>
      </x:c>
      <x:c r="B208" s="99" t="str">
        <x:v>名词</x:v>
      </x:c>
      <x:c r="C208" s="99" t="n">
        <x:v>18</x:v>
      </x:c>
      <x:c r="D208" s="99" t="str">
        <x:v>chalk</x:v>
      </x:c>
      <x:c r="E208" s="99" t="str">
        <x:v>/tʃɔːk/</x:v>
      </x:c>
      <x:c r="F208" s="99" t="str">
        <x:v>粉笔</x:v>
      </x:c>
      <x:c r="G208" s="99" t="str">
        <x:v>18. chalk /tʃɔːk/ 粉笔</x:v>
      </x:c>
    </x:row>
    <x:row r="209" ht="18" customHeight="1">
      <x:c r="A209" s="99" t="str">
        <x:v>C</x:v>
      </x:c>
      <x:c r="B209" s="99" t="str">
        <x:v>名词</x:v>
      </x:c>
      <x:c r="C209" s="99" t="n">
        <x:v>19</x:v>
      </x:c>
      <x:c r="D209" s="99" t="str">
        <x:v>cheese</x:v>
      </x:c>
      <x:c r="E209" s="99" t="str">
        <x:v>/tʃiːz/</x:v>
      </x:c>
      <x:c r="F209" s="99" t="str">
        <x:v>奶酪</x:v>
      </x:c>
      <x:c r="G209" s="99" t="str">
        <x:v>19. cheese /tʃiːz/ 奶酪</x:v>
      </x:c>
    </x:row>
    <x:row r="210" ht="18" customHeight="1">
      <x:c r="A210" s="99" t="str">
        <x:v>C</x:v>
      </x:c>
      <x:c r="B210" s="99" t="str">
        <x:v>名词</x:v>
      </x:c>
      <x:c r="C210" s="99" t="n">
        <x:v>20</x:v>
      </x:c>
      <x:c r="D210" s="99" t="str">
        <x:v>chicken</x:v>
      </x:c>
      <x:c r="E210" s="99" t="str">
        <x:v>/ˈtʃɪkɪn/</x:v>
      </x:c>
      <x:c r="F210" s="99" t="str">
        <x:v>鸡肉</x:v>
      </x:c>
      <x:c r="G210" s="99" t="str">
        <x:v>20. chicken /ˈtʃɪkɪn/ 鸡肉</x:v>
      </x:c>
    </x:row>
    <x:row r="211" ht="18" customHeight="1">
      <x:c r="A211" s="99" t="str">
        <x:v>C</x:v>
      </x:c>
      <x:c r="B211" s="99" t="str">
        <x:v>名词</x:v>
      </x:c>
      <x:c r="C211" s="99" t="n">
        <x:v>21</x:v>
      </x:c>
      <x:c r="D211" s="99" t="str">
        <x:v>child</x:v>
      </x:c>
      <x:c r="E211" s="99" t="str">
        <x:v>/tʃaɪld/</x:v>
      </x:c>
      <x:c r="F211" s="99" t="str">
        <x:v>(pl. children) 小孩，儿童</x:v>
      </x:c>
      <x:c r="G211" s="99" t="str">
        <x:v>21. child /tʃaɪld/ (pl. children) 小孩，儿童</x:v>
      </x:c>
    </x:row>
    <x:row r="212" ht="18" customHeight="1">
      <x:c r="A212" s="99" t="str">
        <x:v>C</x:v>
      </x:c>
      <x:c r="B212" s="99" t="str">
        <x:v>名词</x:v>
      </x:c>
      <x:c r="C212" s="99" t="n">
        <x:v>22</x:v>
      </x:c>
      <x:c r="D212" s="99" t="str">
        <x:v>China</x:v>
      </x:c>
      <x:c r="E212" s="99" t="str">
        <x:v>/ˈtʃaɪnə/</x:v>
      </x:c>
      <x:c r="F212" s="99" t="str">
        <x:v>中国</x:v>
      </x:c>
      <x:c r="G212" s="99" t="str">
        <x:v>22. China /ˈtʃaɪnə/ 中国</x:v>
      </x:c>
    </x:row>
    <x:row r="213" ht="18" customHeight="1">
      <x:c r="A213" s="99" t="str">
        <x:v>C</x:v>
      </x:c>
      <x:c r="B213" s="99" t="str">
        <x:v>名词</x:v>
      </x:c>
      <x:c r="C213" s="99" t="n">
        <x:v>23</x:v>
      </x:c>
      <x:c r="D213" s="99" t="str">
        <x:v>chocolate</x:v>
      </x:c>
      <x:c r="E213" s="99" t="str">
        <x:v>/ˈtʃɒklət/</x:v>
      </x:c>
      <x:c r="F213" s="99" t="str">
        <x:v>巧克力</x:v>
      </x:c>
      <x:c r="G213" s="99" t="str">
        <x:v>23. chocolate /ˈtʃɒklət/ 巧克力</x:v>
      </x:c>
    </x:row>
    <x:row r="214" ht="18" customHeight="1">
      <x:c r="A214" s="99" t="str">
        <x:v>C</x:v>
      </x:c>
      <x:c r="B214" s="99" t="str">
        <x:v>名词</x:v>
      </x:c>
      <x:c r="C214" s="99" t="n">
        <x:v>24</x:v>
      </x:c>
      <x:c r="D214" s="99" t="str">
        <x:v>choice</x:v>
      </x:c>
      <x:c r="E214" s="99" t="str">
        <x:v>/tʃɔɪs/</x:v>
      </x:c>
      <x:c r="F214" s="99" t="str">
        <x:v>选择；挑选</x:v>
      </x:c>
      <x:c r="G214" s="99" t="str">
        <x:v>24. choice /tʃɔɪs/ 选择；挑选</x:v>
      </x:c>
    </x:row>
    <x:row r="215" ht="18" customHeight="1">
      <x:c r="A215" s="99" t="str">
        <x:v>C</x:v>
      </x:c>
      <x:c r="B215" s="99" t="str">
        <x:v>名词</x:v>
      </x:c>
      <x:c r="C215" s="99" t="n">
        <x:v>25</x:v>
      </x:c>
      <x:c r="D215" s="99" t="str">
        <x:v>Christmas</x:v>
      </x:c>
      <x:c r="E215" s="99" t="str">
        <x:v>/ˈkrɪsməs/</x:v>
      </x:c>
      <x:c r="F215" s="99" t="str">
        <x:v>圣诞节</x:v>
      </x:c>
      <x:c r="G215" s="99" t="str">
        <x:v>25. Christmas /ˈkrɪsməs/ 圣诞节</x:v>
      </x:c>
    </x:row>
    <x:row r="216" ht="18" customHeight="1">
      <x:c r="A216" s="99" t="str">
        <x:v>C</x:v>
      </x:c>
      <x:c r="B216" s="99" t="str">
        <x:v>名词</x:v>
      </x:c>
      <x:c r="C216" s="99" t="n">
        <x:v>26</x:v>
      </x:c>
      <x:c r="D216" s="99" t="str">
        <x:v>church</x:v>
      </x:c>
      <x:c r="E216" s="99" t="str">
        <x:v>/tʃɜːtʃ/</x:v>
      </x:c>
      <x:c r="F216" s="99" t="str">
        <x:v>教堂</x:v>
      </x:c>
      <x:c r="G216" s="99" t="str">
        <x:v>26. church /tʃɜːtʃ/ 教堂</x:v>
      </x:c>
    </x:row>
    <x:row r="217" ht="18" customHeight="1">
      <x:c r="A217" s="99" t="str">
        <x:v>C</x:v>
      </x:c>
      <x:c r="B217" s="99" t="str">
        <x:v>名词</x:v>
      </x:c>
      <x:c r="C217" s="99" t="n">
        <x:v>27</x:v>
      </x:c>
      <x:c r="D217" s="99" t="str">
        <x:v>cinema</x:v>
      </x:c>
      <x:c r="E217" s="99" t="str">
        <x:v>/ˈsɪnəmə/</x:v>
      </x:c>
      <x:c r="F217" s="99" t="str">
        <x:v>电影院</x:v>
      </x:c>
      <x:c r="G217" s="99" t="str">
        <x:v>27. cinema /ˈsɪnəmə/ 电影院</x:v>
      </x:c>
    </x:row>
    <x:row r="218" ht="18" customHeight="1">
      <x:c r="A218" s="99" t="str">
        <x:v>C</x:v>
      </x:c>
      <x:c r="B218" s="99" t="str">
        <x:v>名词</x:v>
      </x:c>
      <x:c r="C218" s="99" t="n">
        <x:v>28</x:v>
      </x:c>
      <x:c r="D218" s="99" t="str">
        <x:v>city</x:v>
      </x:c>
      <x:c r="E218" s="99" t="str">
        <x:v>/ˈsɪti/</x:v>
      </x:c>
      <x:c r="F218" s="99" t="str">
        <x:v>城市</x:v>
      </x:c>
      <x:c r="G218" s="99" t="str">
        <x:v>28. city /ˈsɪti/ 城市</x:v>
      </x:c>
    </x:row>
    <x:row r="219" ht="18" customHeight="1">
      <x:c r="A219" s="99" t="str">
        <x:v>C</x:v>
      </x:c>
      <x:c r="B219" s="99" t="str">
        <x:v>名词</x:v>
      </x:c>
      <x:c r="C219" s="99" t="n">
        <x:v>29</x:v>
      </x:c>
      <x:c r="D219" s="99" t="str">
        <x:v>class</x:v>
      </x:c>
      <x:c r="E219" s="99" t="str">
        <x:v>/klɑːs/</x:v>
      </x:c>
      <x:c r="F219" s="99" t="str">
        <x:v>同学；班级</x:v>
      </x:c>
      <x:c r="G219" s="99" t="str">
        <x:v>29. class /klɑːs/ 同学；班级</x:v>
      </x:c>
    </x:row>
    <x:row r="220" ht="18" customHeight="1">
      <x:c r="A220" s="99" t="str">
        <x:v>C</x:v>
      </x:c>
      <x:c r="B220" s="99" t="str">
        <x:v>名词</x:v>
      </x:c>
      <x:c r="C220" s="99" t="n">
        <x:v>30</x:v>
      </x:c>
      <x:c r="D220" s="99" t="str">
        <x:v>classroom</x:v>
      </x:c>
      <x:c r="E220" s="99" t="str">
        <x:v>/ˈklɑːsruːm/</x:v>
      </x:c>
      <x:c r="F220" s="99" t="str">
        <x:v>教室</x:v>
      </x:c>
      <x:c r="G220" s="99" t="str">
        <x:v>30. classroom /ˈklɑːsruːm/ 教室</x:v>
      </x:c>
    </x:row>
    <x:row r="221" ht="18" customHeight="1">
      <x:c r="A221" s="99" t="str">
        <x:v>C</x:v>
      </x:c>
      <x:c r="B221" s="99" t="str">
        <x:v>名词</x:v>
      </x:c>
      <x:c r="C221" s="99" t="n">
        <x:v>31</x:v>
      </x:c>
      <x:c r="D221" s="99" t="str">
        <x:v>club</x:v>
      </x:c>
      <x:c r="E221" s="99" t="str">
        <x:v>/klʌb/</x:v>
      </x:c>
      <x:c r="F221" s="99" t="str">
        <x:v>俱乐部</x:v>
      </x:c>
      <x:c r="G221" s="99" t="str">
        <x:v>31. club /klʌb/ 俱乐部</x:v>
      </x:c>
    </x:row>
    <x:row r="222" ht="18" customHeight="1">
      <x:c r="A222" s="99" t="str">
        <x:v>C</x:v>
      </x:c>
      <x:c r="B222" s="99" t="str">
        <x:v>名词</x:v>
      </x:c>
      <x:c r="C222" s="99" t="n">
        <x:v>32</x:v>
      </x:c>
      <x:c r="D222" s="99" t="str">
        <x:v>coach</x:v>
      </x:c>
      <x:c r="E222" s="99" t="str">
        <x:v>/kəʊtʃ/</x:v>
      </x:c>
      <x:c r="F222" s="99" t="str">
        <x:v>教练</x:v>
      </x:c>
      <x:c r="G222" s="99" t="str">
        <x:v>32. coach /kəʊtʃ/ 教练</x:v>
      </x:c>
    </x:row>
    <x:row r="223" ht="18" customHeight="1">
      <x:c r="A223" s="99" t="str">
        <x:v>C</x:v>
      </x:c>
      <x:c r="B223" s="99" t="str">
        <x:v>名词</x:v>
      </x:c>
      <x:c r="C223" s="99" t="n">
        <x:v>33</x:v>
      </x:c>
      <x:c r="D223" s="99" t="str">
        <x:v>coast</x:v>
      </x:c>
      <x:c r="E223" s="99" t="str">
        <x:v>/kəʊst/</x:v>
      </x:c>
      <x:c r="F223" s="99" t="str">
        <x:v>海岸</x:v>
      </x:c>
      <x:c r="G223" s="99" t="str">
        <x:v>33. coast /kəʊst/ 海岸</x:v>
      </x:c>
    </x:row>
    <x:row r="224" ht="18" customHeight="1">
      <x:c r="A224" s="99" t="str">
        <x:v>C</x:v>
      </x:c>
      <x:c r="B224" s="99" t="str">
        <x:v>名词</x:v>
      </x:c>
      <x:c r="C224" s="99" t="n">
        <x:v>34</x:v>
      </x:c>
      <x:c r="D224" s="99" t="str">
        <x:v>coat</x:v>
      </x:c>
      <x:c r="E224" s="99" t="str">
        <x:v>/kəʊt/</x:v>
      </x:c>
      <x:c r="F224" s="99" t="str">
        <x:v>外套</x:v>
      </x:c>
      <x:c r="G224" s="99" t="str">
        <x:v>34. coat /kəʊt/ 外套</x:v>
      </x:c>
    </x:row>
    <x:row r="225" ht="18" customHeight="1">
      <x:c r="A225" s="99" t="str">
        <x:v>C</x:v>
      </x:c>
      <x:c r="B225" s="99" t="str">
        <x:v>名词</x:v>
      </x:c>
      <x:c r="C225" s="99" t="n">
        <x:v>35</x:v>
      </x:c>
      <x:c r="D225" s="99" t="str">
        <x:v>coffee</x:v>
      </x:c>
      <x:c r="E225" s="99" t="str">
        <x:v>/ˈkɒfi/</x:v>
      </x:c>
      <x:c r="F225" s="99" t="str">
        <x:v>咖啡</x:v>
      </x:c>
      <x:c r="G225" s="99" t="str">
        <x:v>35. coffee /ˈkɒfi/ 咖啡</x:v>
      </x:c>
    </x:row>
    <x:row r="226" ht="18" customHeight="1">
      <x:c r="A226" s="99" t="str">
        <x:v>C</x:v>
      </x:c>
      <x:c r="B226" s="99" t="str">
        <x:v>名词</x:v>
      </x:c>
      <x:c r="C226" s="99" t="n">
        <x:v>36</x:v>
      </x:c>
      <x:c r="D226" s="99" t="str">
        <x:v>coin</x:v>
      </x:c>
      <x:c r="E226" s="99" t="str">
        <x:v>/kɔɪn/</x:v>
      </x:c>
      <x:c r="F226" s="99" t="str">
        <x:v>硬币</x:v>
      </x:c>
      <x:c r="G226" s="99" t="str">
        <x:v>36. coin /kɔɪn/ 硬币</x:v>
      </x:c>
    </x:row>
    <x:row r="227" ht="18" customHeight="1">
      <x:c r="A227" s="99" t="str">
        <x:v>C</x:v>
      </x:c>
      <x:c r="B227" s="99" t="str">
        <x:v>名词</x:v>
      </x:c>
      <x:c r="C227" s="99" t="n">
        <x:v>37</x:v>
      </x:c>
      <x:c r="D227" s="99" t="str">
        <x:v>coke</x:v>
      </x:c>
      <x:c r="E227" s="99" t="str">
        <x:v>/kəʊk/</x:v>
      </x:c>
      <x:c r="F227" s="99" t="str">
        <x:v>可乐</x:v>
      </x:c>
      <x:c r="G227" s="99" t="str">
        <x:v>37. coke /kəʊk/ 可乐</x:v>
      </x:c>
    </x:row>
    <x:row r="228" ht="18" customHeight="1">
      <x:c r="A228" s="99" t="str">
        <x:v>C</x:v>
      </x:c>
      <x:c r="B228" s="99" t="str">
        <x:v>名词</x:v>
      </x:c>
      <x:c r="C228" s="99" t="n">
        <x:v>38</x:v>
      </x:c>
      <x:c r="D228" s="99" t="str">
        <x:v>cold</x:v>
      </x:c>
      <x:c r="E228" s="99" t="str">
        <x:v>/kəʊld/</x:v>
      </x:c>
      <x:c r="F228" s="99" t="str">
        <x:v>感冒</x:v>
      </x:c>
      <x:c r="G228" s="99" t="str">
        <x:v>38. cold /kəʊld/ 感冒</x:v>
      </x:c>
    </x:row>
    <x:row r="229" ht="18" customHeight="1">
      <x:c r="A229" s="99" t="str">
        <x:v>C</x:v>
      </x:c>
      <x:c r="B229" s="99" t="str">
        <x:v>名词</x:v>
      </x:c>
      <x:c r="C229" s="99" t="n">
        <x:v>39</x:v>
      </x:c>
      <x:c r="D229" s="99" t="str">
        <x:v>colour (AmE color)</x:v>
      </x:c>
      <x:c r="E229" s="99" t="str">
        <x:v>/ˈkʌlə(r)/</x:v>
      </x:c>
      <x:c r="F229" s="99" t="str">
        <x:v>颜色</x:v>
      </x:c>
      <x:c r="G229" s="99" t="str">
        <x:v>39. colour (AmE color) /ˈkʌlə(r)/ 颜色</x:v>
      </x:c>
    </x:row>
    <x:row r="230" ht="18" customHeight="1">
      <x:c r="A230" s="99" t="str">
        <x:v>C</x:v>
      </x:c>
      <x:c r="B230" s="99" t="str">
        <x:v>名词</x:v>
      </x:c>
      <x:c r="C230" s="99" t="n">
        <x:v>40</x:v>
      </x:c>
      <x:c r="D230" s="99" t="str">
        <x:v>company</x:v>
      </x:c>
      <x:c r="E230" s="99" t="str">
        <x:v>/ˈkʌmpəni/</x:v>
      </x:c>
      <x:c r="F230" s="99" t="str">
        <x:v>公司；剧团</x:v>
      </x:c>
      <x:c r="G230" s="99" t="str">
        <x:v>40. company /ˈkʌmpəni/ 公司；剧团</x:v>
      </x:c>
    </x:row>
    <x:row r="231" ht="18" customHeight="1">
      <x:c r="A231" s="99" t="str">
        <x:v>C</x:v>
      </x:c>
      <x:c r="B231" s="99" t="str">
        <x:v>名词</x:v>
      </x:c>
      <x:c r="C231" s="99" t="n">
        <x:v>41</x:v>
      </x:c>
      <x:c r="D231" s="99" t="str">
        <x:v>competition</x:v>
      </x:c>
      <x:c r="E231" s="99" t="str">
        <x:v>/ˌkɒmpəˈtɪʃn/</x:v>
      </x:c>
      <x:c r="F231" s="99" t="str">
        <x:v>比赛；竞争</x:v>
      </x:c>
      <x:c r="G231" s="99" t="str">
        <x:v>41. competition /ˌkɒmpəˈtɪʃn/ 比赛；竞争</x:v>
      </x:c>
    </x:row>
    <x:row r="232" ht="18" customHeight="1">
      <x:c r="A232" s="99" t="str">
        <x:v>C</x:v>
      </x:c>
      <x:c r="B232" s="99" t="str">
        <x:v>名词</x:v>
      </x:c>
      <x:c r="C232" s="99" t="n">
        <x:v>42</x:v>
      </x:c>
      <x:c r="D232" s="99" t="str">
        <x:v>computer</x:v>
      </x:c>
      <x:c r="E232" s="99" t="str">
        <x:v>/kəmˈpjuːtə(r)/</x:v>
      </x:c>
      <x:c r="F232" s="99" t="str">
        <x:v>计算机；电脑</x:v>
      </x:c>
      <x:c r="G232" s="99" t="str">
        <x:v>42. computer /kəmˈpjuːtə(r)/ 计算机；电脑</x:v>
      </x:c>
    </x:row>
    <x:row r="233" ht="18" customHeight="1">
      <x:c r="A233" s="99" t="str">
        <x:v>C</x:v>
      </x:c>
      <x:c r="B233" s="99" t="str">
        <x:v>名词</x:v>
      </x:c>
      <x:c r="C233" s="99" t="n">
        <x:v>43</x:v>
      </x:c>
      <x:c r="D233" s="99" t="str">
        <x:v>concert</x:v>
      </x:c>
      <x:c r="E233" s="99" t="str">
        <x:v>/ˈkɒnsət/</x:v>
      </x:c>
      <x:c r="F233" s="99" t="str">
        <x:v>音乐会</x:v>
      </x:c>
      <x:c r="G233" s="99" t="str">
        <x:v>43. concert /ˈkɒnsət/ 音乐会</x:v>
      </x:c>
    </x:row>
    <x:row r="234" ht="18" customHeight="1">
      <x:c r="A234" s="99" t="str">
        <x:v>C</x:v>
      </x:c>
      <x:c r="B234" s="99" t="str">
        <x:v>名词</x:v>
      </x:c>
      <x:c r="C234" s="99" t="n">
        <x:v>44</x:v>
      </x:c>
      <x:c r="D234" s="99" t="str">
        <x:v>condition</x:v>
      </x:c>
      <x:c r="E234" s="99" t="str">
        <x:v>/kənˈdɪʃn/</x:v>
      </x:c>
      <x:c r="F234" s="99" t="str">
        <x:v>状况；身体状况</x:v>
      </x:c>
      <x:c r="G234" s="99" t="str">
        <x:v>44. condition /kənˈdɪʃn/ 状况；身体状况</x:v>
      </x:c>
    </x:row>
    <x:row r="235" ht="18" customHeight="1">
      <x:c r="A235" s="99" t="str">
        <x:v>C</x:v>
      </x:c>
      <x:c r="B235" s="99" t="str">
        <x:v>名词</x:v>
      </x:c>
      <x:c r="C235" s="99" t="n">
        <x:v>45</x:v>
      </x:c>
      <x:c r="D235" s="99" t="str">
        <x:v>cook</x:v>
      </x:c>
      <x:c r="E235" s="99" t="str">
        <x:v>/kʊk/</x:v>
      </x:c>
      <x:c r="F235" s="99" t="str">
        <x:v>厨师</x:v>
      </x:c>
      <x:c r="G235" s="99" t="str">
        <x:v>45. cook /kʊk/ 厨师</x:v>
      </x:c>
    </x:row>
    <x:row r="236" ht="18" customHeight="1">
      <x:c r="A236" s="99" t="str">
        <x:v>C</x:v>
      </x:c>
      <x:c r="B236" s="99" t="str">
        <x:v>名词</x:v>
      </x:c>
      <x:c r="C236" s="99" t="n">
        <x:v>46</x:v>
      </x:c>
      <x:c r="D236" s="99" t="str">
        <x:v>cookie</x:v>
      </x:c>
      <x:c r="E236" s="99" t="str">
        <x:v>/ˈkʊki/</x:v>
      </x:c>
      <x:c r="F236" s="99" t="str">
        <x:v>小甜饼；曲奇饼</x:v>
      </x:c>
      <x:c r="G236" s="99" t="str">
        <x:v>46. cookie /ˈkʊki/ 小甜饼；曲奇饼</x:v>
      </x:c>
    </x:row>
    <x:row r="237" ht="18" customHeight="1">
      <x:c r="A237" s="99" t="str">
        <x:v>C</x:v>
      </x:c>
      <x:c r="B237" s="99" t="str">
        <x:v>名词</x:v>
      </x:c>
      <x:c r="C237" s="99" t="n">
        <x:v>47</x:v>
      </x:c>
      <x:c r="D237" s="99" t="str">
        <x:v>copy</x:v>
      </x:c>
      <x:c r="E237" s="99" t="str">
        <x:v>/ˈkɒpi/</x:v>
      </x:c>
      <x:c r="F237" s="99" t="str">
        <x:v>(一)本；(一)份</x:v>
      </x:c>
      <x:c r="G237" s="99" t="str">
        <x:v>47. copy /ˈkɒpi/ (一)本；(一)份</x:v>
      </x:c>
    </x:row>
    <x:row r="238" ht="18" customHeight="1">
      <x:c r="A238" s="99" t="str">
        <x:v>C</x:v>
      </x:c>
      <x:c r="B238" s="99" t="str">
        <x:v>名词</x:v>
      </x:c>
      <x:c r="C238" s="99" t="n">
        <x:v>48</x:v>
      </x:c>
      <x:c r="D238" s="99" t="str">
        <x:v>corn</x:v>
      </x:c>
      <x:c r="E238" s="99" t="str">
        <x:v>/kɔːn/</x:v>
      </x:c>
      <x:c r="F238" s="99" t="str">
        <x:v>玉米</x:v>
      </x:c>
      <x:c r="G238" s="99" t="str">
        <x:v>48. corn /kɔːn/ 玉米</x:v>
      </x:c>
    </x:row>
    <x:row r="239" ht="18" customHeight="1">
      <x:c r="A239" s="99" t="str">
        <x:v>C</x:v>
      </x:c>
      <x:c r="B239" s="99" t="str">
        <x:v>名词</x:v>
      </x:c>
      <x:c r="C239" s="99" t="n">
        <x:v>49</x:v>
      </x:c>
      <x:c r="D239" s="99" t="str">
        <x:v>cost</x:v>
      </x:c>
      <x:c r="E239" s="99" t="str">
        <x:v>/kɒst/</x:v>
      </x:c>
      <x:c r="F239" s="99" t="str">
        <x:v>价钱；花费；价格；成本；代价</x:v>
      </x:c>
      <x:c r="G239" s="99" t="str">
        <x:v>49. cost /kɒst/ 价钱；花费；价格；成本；代价</x:v>
      </x:c>
    </x:row>
    <x:row r="240" ht="18" customHeight="1">
      <x:c r="A240" s="99" t="str">
        <x:v>C</x:v>
      </x:c>
      <x:c r="B240" s="99" t="str">
        <x:v>名词</x:v>
      </x:c>
      <x:c r="C240" s="99" t="n">
        <x:v>50</x:v>
      </x:c>
      <x:c r="D240" s="99" t="str">
        <x:v>country</x:v>
      </x:c>
      <x:c r="E240" s="99" t="str">
        <x:v>/ˈkʌntri/</x:v>
      </x:c>
      <x:c r="F240" s="99" t="str">
        <x:v>国家；乡下；乡村</x:v>
      </x:c>
      <x:c r="G240" s="99" t="str">
        <x:v>50. country /ˈkʌntri/ 国家；乡下；乡村</x:v>
      </x:c>
    </x:row>
    <x:row r="241" ht="18" customHeight="1">
      <x:c r="A241" s="99" t="str">
        <x:v>C</x:v>
      </x:c>
      <x:c r="B241" s="99" t="str">
        <x:v>名词</x:v>
      </x:c>
      <x:c r="C241" s="99" t="n">
        <x:v>51</x:v>
      </x:c>
      <x:c r="D241" s="99" t="str">
        <x:v>countryside</x:v>
      </x:c>
      <x:c r="E241" s="99" t="str">
        <x:v>/ˈkʌntrisaɪd/</x:v>
      </x:c>
      <x:c r="F241" s="99" t="str">
        <x:v>农村地区；乡下</x:v>
      </x:c>
      <x:c r="G241" s="99" t="str">
        <x:v>51. countryside /ˈkʌntrisaɪd/ 农村地区；乡下</x:v>
      </x:c>
    </x:row>
    <x:row r="242" ht="18" customHeight="1">
      <x:c r="A242" s="99" t="str">
        <x:v>C</x:v>
      </x:c>
      <x:c r="B242" s="99" t="str">
        <x:v>名词</x:v>
      </x:c>
      <x:c r="C242" s="99" t="n">
        <x:v>52</x:v>
      </x:c>
      <x:c r="D242" s="99" t="str">
        <x:v>course</x:v>
      </x:c>
      <x:c r="E242" s="99" t="str">
        <x:v>/kɔːs/</x:v>
      </x:c>
      <x:c r="F242" s="99" t="str">
        <x:v>课程；过程</x:v>
      </x:c>
      <x:c r="G242" s="99" t="str">
        <x:v>52. course /kɔːs/ 课程；过程</x:v>
      </x:c>
    </x:row>
    <x:row r="243" ht="18" customHeight="1">
      <x:c r="A243" s="99" t="str">
        <x:v>C</x:v>
      </x:c>
      <x:c r="B243" s="99" t="str">
        <x:v>名词</x:v>
      </x:c>
      <x:c r="C243" s="99" t="n">
        <x:v>53</x:v>
      </x:c>
      <x:c r="D243" s="99" t="str">
        <x:v>cousin</x:v>
      </x:c>
      <x:c r="E243" s="99" t="str">
        <x:v>/ˈkʌzn/</x:v>
      </x:c>
      <x:c r="F243" s="99" t="str">
        <x:v>堂兄弟；表兄弟；堂姐妹；表姐妹</x:v>
      </x:c>
      <x:c r="G243" s="99" t="str">
        <x:v>53. cousin /ˈkʌzn/ 堂兄弟；表兄弟；堂姐妹；表姐妹</x:v>
      </x:c>
    </x:row>
    <x:row r="244" ht="18" customHeight="1">
      <x:c r="A244" s="99" t="str">
        <x:v>C</x:v>
      </x:c>
      <x:c r="B244" s="99" t="str">
        <x:v>名词</x:v>
      </x:c>
      <x:c r="C244" s="99" t="n">
        <x:v>54</x:v>
      </x:c>
      <x:c r="D244" s="99" t="str">
        <x:v>cow</x:v>
      </x:c>
      <x:c r="E244" s="99" t="str">
        <x:v>/kaʊ/</x:v>
      </x:c>
      <x:c r="F244" s="99" t="str">
        <x:v>母牛；奶牛</x:v>
      </x:c>
      <x:c r="G244" s="99" t="str">
        <x:v>54. cow /kaʊ/ 母牛；奶牛</x:v>
      </x:c>
    </x:row>
    <x:row r="245" ht="18" customHeight="1">
      <x:c r="A245" s="99" t="str">
        <x:v>C</x:v>
      </x:c>
      <x:c r="B245" s="99" t="str">
        <x:v>名词</x:v>
      </x:c>
      <x:c r="C245" s="99" t="n">
        <x:v>55</x:v>
      </x:c>
      <x:c r="D245" s="99" t="str">
        <x:v>culture</x:v>
      </x:c>
      <x:c r="E245" s="99" t="str">
        <x:v>/ˈkʌltʃə(r)/</x:v>
      </x:c>
      <x:c r="F245" s="99" t="str">
        <x:v>文化</x:v>
      </x:c>
      <x:c r="G245" s="99" t="str">
        <x:v>55. culture /ˈkʌltʃə(r)/ 文化</x:v>
      </x:c>
    </x:row>
    <x:row r="246" ht="18" customHeight="1">
      <x:c r="A246" s="99" t="str">
        <x:v>C</x:v>
      </x:c>
      <x:c r="B246" s="99" t="str">
        <x:v>名词</x:v>
      </x:c>
      <x:c r="C246" s="99" t="n">
        <x:v>56</x:v>
      </x:c>
      <x:c r="D246" s="99" t="str">
        <x:v>customer</x:v>
      </x:c>
      <x:c r="E246" s="99" t="str">
        <x:v>/ˈkʌstəmə(r)/</x:v>
      </x:c>
      <x:c r="F246" s="99" t="str">
        <x:v>顾客</x:v>
      </x:c>
      <x:c r="G246" s="99" t="str">
        <x:v>56. customer /ˈkʌstəmə(r)/ 顾客</x:v>
      </x:c>
    </x:row>
    <x:row r="247" ht="18" customHeight="1">
      <x:c r="A247" s="99" t="str">
        <x:v>C</x:v>
      </x:c>
      <x:c r="B247" s="99" t="str">
        <x:v>名词</x:v>
      </x:c>
      <x:c r="C247" s="99" t="n">
        <x:v>57</x:v>
      </x:c>
      <x:c r="D247" s="99" t="str">
        <x:v>cut</x:v>
      </x:c>
      <x:c r="E247" s="99" t="str">
        <x:v>/kʌt/</x:v>
      </x:c>
      <x:c r="F247" s="99" t="str">
        <x:v>切口；伤口（兼作动词）</x:v>
      </x:c>
      <x:c r="G247" s="99" t="str">
        <x:v>57. cut /kʌt/ 切口；伤口（兼作动词）</x:v>
      </x:c>
    </x:row>
    <x:row r="248" ht="18" customHeight="1">
      <x:c r="A248" s="99" t="str">
        <x:v>C</x:v>
      </x:c>
      <x:c r="B248" s="99" t="str">
        <x:v>名词</x:v>
      </x:c>
      <x:c r="C248" s="99" t="n">
        <x:v>58</x:v>
      </x:c>
      <x:c r="D248" s="99" t="str">
        <x:v>cup</x:v>
      </x:c>
      <x:c r="E248" s="99" t="str">
        <x:v>/kʌp/</x:v>
      </x:c>
      <x:c r="F248" s="99" t="str">
        <x:v>杯子</x:v>
      </x:c>
      <x:c r="G248" s="99" t="str">
        <x:v>58. cup /kʌp/ 杯子</x:v>
      </x:c>
    </x:row>
    <x:row r="249" ht="18" customHeight="1">
      <x:c r="A249" s="99" t="str">
        <x:v>C</x:v>
      </x:c>
      <x:c r="B249" s="99" t="str">
        <x:v>动词</x:v>
      </x:c>
      <x:c r="C249" s="99" t="n">
        <x:v>1</x:v>
      </x:c>
      <x:c r="D249" s="99" t="str">
        <x:v>call</x:v>
      </x:c>
      <x:c r="E249" s="99" t="str">
        <x:v>/kɔːl/</x:v>
      </x:c>
      <x:c r="F249" s="99" t="str">
        <x:v>把……叫做；称呼……为；（给……）打电话</x:v>
      </x:c>
      <x:c r="G249" s="99" t="str">
        <x:v>1. call /kɔːl/ 把……叫做；称呼……为；（给……）打电话</x:v>
      </x:c>
    </x:row>
    <x:row r="250" ht="18" customHeight="1">
      <x:c r="A250" s="99" t="str">
        <x:v>C</x:v>
      </x:c>
      <x:c r="B250" s="99" t="str">
        <x:v>动词</x:v>
      </x:c>
      <x:c r="C250" s="99" t="n">
        <x:v>2</x:v>
      </x:c>
      <x:c r="D250" s="99" t="str">
        <x:v>can't</x:v>
      </x:c>
      <x:c r="E250" s="99" t="str"/>
      <x:c r="F250" s="99" t="str">
        <x:v>help doing sth. 忍不住做某事（固定搭配，核心动词为help）</x:v>
      </x:c>
      <x:c r="G250" s="99" t="str">
        <x:v>2. can't help doing sth. 忍不住做某事（固定搭配，核心动词为help）</x:v>
      </x:c>
    </x:row>
    <x:row r="251" ht="18" customHeight="1">
      <x:c r="A251" s="99" t="str">
        <x:v>C</x:v>
      </x:c>
      <x:c r="B251" s="99" t="str">
        <x:v>动词</x:v>
      </x:c>
      <x:c r="C251" s="99" t="n">
        <x:v>3</x:v>
      </x:c>
      <x:c r="D251" s="99" t="str">
        <x:v>catch</x:v>
      </x:c>
      <x:c r="E251" s="99" t="str">
        <x:v>/kætʃ/</x:v>
      </x:c>
      <x:c r="F251" s="99" t="str">
        <x:v>抓住；接住</x:v>
      </x:c>
      <x:c r="G251" s="99" t="str">
        <x:v>3. catch /kætʃ/ 抓住；接住</x:v>
      </x:c>
    </x:row>
    <x:row r="252" ht="18" customHeight="1">
      <x:c r="A252" s="99" t="str">
        <x:v>C</x:v>
      </x:c>
      <x:c r="B252" s="99" t="str">
        <x:v>动词</x:v>
      </x:c>
      <x:c r="C252" s="99" t="n">
        <x:v>4</x:v>
      </x:c>
      <x:c r="D252" s="99" t="str">
        <x:v>celebrate</x:v>
      </x:c>
      <x:c r="E252" s="99" t="str">
        <x:v>/ˈselɪbreɪt/</x:v>
      </x:c>
      <x:c r="F252" s="99" t="str">
        <x:v>庆祝</x:v>
      </x:c>
      <x:c r="G252" s="99" t="str">
        <x:v>4. celebrate /ˈselɪbreɪt/ 庆祝</x:v>
      </x:c>
    </x:row>
    <x:row r="253" ht="18" customHeight="1">
      <x:c r="A253" s="99" t="str">
        <x:v>C</x:v>
      </x:c>
      <x:c r="B253" s="99" t="str">
        <x:v>动词</x:v>
      </x:c>
      <x:c r="C253" s="99" t="n">
        <x:v>5</x:v>
      </x:c>
      <x:c r="D253" s="99" t="str">
        <x:v>change</x:v>
      </x:c>
      <x:c r="E253" s="99" t="str">
        <x:v>/tʃeɪndʒ/</x:v>
      </x:c>
      <x:c r="F253" s="99" t="str">
        <x:v>改变；变化</x:v>
      </x:c>
      <x:c r="G253" s="99" t="str">
        <x:v>5. change /tʃeɪndʒ/ 改变；变化</x:v>
      </x:c>
    </x:row>
    <x:row r="254" ht="18" customHeight="1">
      <x:c r="A254" s="99" t="str">
        <x:v>C</x:v>
      </x:c>
      <x:c r="B254" s="99" t="str">
        <x:v>动词</x:v>
      </x:c>
      <x:c r="C254" s="99" t="n">
        <x:v>6</x:v>
      </x:c>
      <x:c r="D254" s="99" t="str">
        <x:v>check</x:v>
      </x:c>
      <x:c r="E254" s="99" t="str">
        <x:v>/tʃek/</x:v>
      </x:c>
      <x:c r="F254" s="99" t="str">
        <x:v>检查；查看</x:v>
      </x:c>
      <x:c r="G254" s="99" t="str">
        <x:v>6. check /tʃek/ 检查；查看</x:v>
      </x:c>
    </x:row>
    <x:row r="255" ht="18" customHeight="1">
      <x:c r="A255" s="99" t="str">
        <x:v>C</x:v>
      </x:c>
      <x:c r="B255" s="99" t="str">
        <x:v>动词</x:v>
      </x:c>
      <x:c r="C255" s="99" t="n">
        <x:v>7</x:v>
      </x:c>
      <x:c r="D255" s="99" t="str">
        <x:v>choose</x:v>
      </x:c>
      <x:c r="E255" s="99" t="str">
        <x:v>/tʃuːz/</x:v>
      </x:c>
      <x:c r="F255" s="99" t="str">
        <x:v>选择；挑选</x:v>
      </x:c>
      <x:c r="G255" s="99" t="str">
        <x:v>7. choose /tʃuːz/ 选择；挑选</x:v>
      </x:c>
    </x:row>
    <x:row r="256" ht="18" customHeight="1">
      <x:c r="A256" s="99" t="str">
        <x:v>C</x:v>
      </x:c>
      <x:c r="B256" s="99" t="str">
        <x:v>动词</x:v>
      </x:c>
      <x:c r="C256" s="99" t="n">
        <x:v>8</x:v>
      </x:c>
      <x:c r="D256" s="99" t="str">
        <x:v>clean</x:v>
      </x:c>
      <x:c r="E256" s="99" t="str">
        <x:v>/kliːn/</x:v>
      </x:c>
      <x:c r="F256" s="99" t="str">
        <x:v>打扫</x:v>
      </x:c>
      <x:c r="G256" s="99" t="str">
        <x:v>8. clean /kliːn/ 打扫</x:v>
      </x:c>
    </x:row>
    <x:row r="257" ht="18" customHeight="1">
      <x:c r="A257" s="99" t="str">
        <x:v>C</x:v>
      </x:c>
      <x:c r="B257" s="99" t="str">
        <x:v>动词</x:v>
      </x:c>
      <x:c r="C257" s="99" t="n">
        <x:v>9</x:v>
      </x:c>
      <x:c r="D257" s="99" t="str">
        <x:v>clear</x:v>
      </x:c>
      <x:c r="E257" s="99" t="str">
        <x:v>/klɪə(r)/</x:v>
      </x:c>
      <x:c r="F257" s="99" t="str">
        <x:v>清除；清理；移走</x:v>
      </x:c>
      <x:c r="G257" s="99" t="str">
        <x:v>9. clear /klɪə(r)/ 清除；清理；移走</x:v>
      </x:c>
    </x:row>
    <x:row r="258" ht="18" customHeight="1">
      <x:c r="A258" s="99" t="str">
        <x:v>C</x:v>
      </x:c>
      <x:c r="B258" s="99" t="str">
        <x:v>动词</x:v>
      </x:c>
      <x:c r="C258" s="99" t="n">
        <x:v>10</x:v>
      </x:c>
      <x:c r="D258" s="99" t="str">
        <x:v>climb</x:v>
      </x:c>
      <x:c r="E258" s="99" t="str">
        <x:v>/klaɪm/</x:v>
      </x:c>
      <x:c r="F258" s="99" t="str">
        <x:v>爬；攀爬</x:v>
      </x:c>
      <x:c r="G258" s="99" t="str">
        <x:v>10. climb /klaɪm/ 爬；攀爬</x:v>
      </x:c>
    </x:row>
    <x:row r="259" ht="18" customHeight="1">
      <x:c r="A259" s="99" t="str">
        <x:v>C</x:v>
      </x:c>
      <x:c r="B259" s="99" t="str">
        <x:v>动词</x:v>
      </x:c>
      <x:c r="C259" s="99" t="n">
        <x:v>11</x:v>
      </x:c>
      <x:c r="D259" s="99" t="str">
        <x:v>close</x:v>
      </x:c>
      <x:c r="E259" s="99" t="str">
        <x:v>/kləʊz/</x:v>
      </x:c>
      <x:c r="F259" s="99" t="str">
        <x:v>合上；关闭</x:v>
      </x:c>
      <x:c r="G259" s="99" t="str">
        <x:v>11. close /kləʊz/ 合上；关闭</x:v>
      </x:c>
    </x:row>
    <x:row r="260" ht="18" customHeight="1">
      <x:c r="A260" s="99" t="str">
        <x:v>C</x:v>
      </x:c>
      <x:c r="B260" s="99" t="str">
        <x:v>动词</x:v>
      </x:c>
      <x:c r="C260" s="99" t="n">
        <x:v>12</x:v>
      </x:c>
      <x:c r="D260" s="99" t="str">
        <x:v>collect</x:v>
      </x:c>
      <x:c r="E260" s="99" t="str">
        <x:v>/kəˈlekt/</x:v>
      </x:c>
      <x:c r="F260" s="99" t="str">
        <x:v>收集</x:v>
      </x:c>
      <x:c r="G260" s="99" t="str">
        <x:v>12. collect /kəˈlekt/ 收集</x:v>
      </x:c>
    </x:row>
    <x:row r="261" ht="18" customHeight="1">
      <x:c r="A261" s="99" t="str">
        <x:v>C</x:v>
      </x:c>
      <x:c r="B261" s="99" t="str">
        <x:v>动词</x:v>
      </x:c>
      <x:c r="C261" s="99" t="n">
        <x:v>13</x:v>
      </x:c>
      <x:c r="D261" s="99" t="str">
        <x:v>come</x:v>
      </x:c>
      <x:c r="E261" s="99" t="str">
        <x:v>/kʌm/</x:v>
      </x:c>
      <x:c r="F261" s="99" t="str">
        <x:v>来</x:v>
      </x:c>
      <x:c r="G261" s="99" t="str">
        <x:v>13. come /kʌm/ 来</x:v>
      </x:c>
    </x:row>
    <x:row r="262" ht="18" customHeight="1">
      <x:c r="A262" s="99" t="str">
        <x:v>C</x:v>
      </x:c>
      <x:c r="B262" s="99" t="str">
        <x:v>动词</x:v>
      </x:c>
      <x:c r="C262" s="99" t="n">
        <x:v>14</x:v>
      </x:c>
      <x:c r="D262" s="99" t="str">
        <x:v>come</x:v>
      </x:c>
      <x:c r="E262" s="99" t="str"/>
      <x:c r="F262" s="99" t="str">
        <x:v>out 问世；出版（固定搭配）</x:v>
      </x:c>
      <x:c r="G262" s="99" t="str">
        <x:v>14. come out 问世；出版（固定搭配）</x:v>
      </x:c>
    </x:row>
    <x:row r="263" ht="18" customHeight="1">
      <x:c r="A263" s="99" t="str">
        <x:v>C</x:v>
      </x:c>
      <x:c r="B263" s="99" t="str">
        <x:v>动词</x:v>
      </x:c>
      <x:c r="C263" s="99" t="n">
        <x:v>15</x:v>
      </x:c>
      <x:c r="D263" s="99" t="str">
        <x:v>communicate</x:v>
      </x:c>
      <x:c r="E263" s="99" t="str">
        <x:v>/kəˈmjuːnɪkeɪt/</x:v>
      </x:c>
      <x:c r="F263" s="99" t="str">
        <x:v>联系；交流</x:v>
      </x:c>
      <x:c r="G263" s="99" t="str">
        <x:v>15. communicate /kəˈmjuːnɪkeɪt/ 联系；交流</x:v>
      </x:c>
    </x:row>
    <x:row r="264" ht="18" customHeight="1">
      <x:c r="A264" s="99" t="str">
        <x:v>C</x:v>
      </x:c>
      <x:c r="B264" s="99" t="str">
        <x:v>动词</x:v>
      </x:c>
      <x:c r="C264" s="99" t="n">
        <x:v>16</x:v>
      </x:c>
      <x:c r="D264" s="99" t="str">
        <x:v>compare</x:v>
      </x:c>
      <x:c r="E264" s="99" t="str">
        <x:v>/kəmˈpeə(r)/</x:v>
      </x:c>
      <x:c r="F264" s="99" t="str">
        <x:v>比较</x:v>
      </x:c>
      <x:c r="G264" s="99" t="str">
        <x:v>16. compare /kəmˈpeə(r)/ 比较</x:v>
      </x:c>
    </x:row>
    <x:row r="265" ht="18" customHeight="1">
      <x:c r="A265" s="99" t="str">
        <x:v>C</x:v>
      </x:c>
      <x:c r="B265" s="99" t="str">
        <x:v>动词</x:v>
      </x:c>
      <x:c r="C265" s="99" t="n">
        <x:v>17</x:v>
      </x:c>
      <x:c r="D265" s="99" t="str">
        <x:v>complete</x:v>
      </x:c>
      <x:c r="E265" s="99" t="str">
        <x:v>/kəmˈpliːt/</x:v>
      </x:c>
      <x:c r="F265" s="99" t="str">
        <x:v>把……填完整；使完全</x:v>
      </x:c>
      <x:c r="G265" s="99" t="str">
        <x:v>17. complete /kəmˈpliːt/ 把……填完整；使完全</x:v>
      </x:c>
    </x:row>
    <x:row r="266" ht="18" customHeight="1">
      <x:c r="A266" s="99" t="str">
        <x:v>C</x:v>
      </x:c>
      <x:c r="B266" s="99" t="str">
        <x:v>动词</x:v>
      </x:c>
      <x:c r="C266" s="99" t="n">
        <x:v>18</x:v>
      </x:c>
      <x:c r="D266" s="99" t="str">
        <x:v>connect</x:v>
      </x:c>
      <x:c r="E266" s="99" t="str">
        <x:v>/kəˈnekt/</x:v>
      </x:c>
      <x:c r="F266" s="99" t="str">
        <x:v>连接</x:v>
      </x:c>
      <x:c r="G266" s="99" t="str">
        <x:v>18. connect /kəˈnekt/ 连接</x:v>
      </x:c>
    </x:row>
    <x:row r="267" ht="18" customHeight="1">
      <x:c r="A267" s="99" t="str">
        <x:v>C</x:v>
      </x:c>
      <x:c r="B267" s="99" t="str">
        <x:v>动词</x:v>
      </x:c>
      <x:c r="C267" s="99" t="n">
        <x:v>19</x:v>
      </x:c>
      <x:c r="D267" s="99" t="str">
        <x:v>cook</x:v>
      </x:c>
      <x:c r="E267" s="99" t="str">
        <x:v>/kʊk/</x:v>
      </x:c>
      <x:c r="F267" s="99" t="str">
        <x:v>烹调；煮；烧</x:v>
      </x:c>
      <x:c r="G267" s="99" t="str">
        <x:v>19. cook /kʊk/ 烹调；煮；烧</x:v>
      </x:c>
    </x:row>
    <x:row r="268" ht="18" customHeight="1">
      <x:c r="A268" s="99" t="str">
        <x:v>C</x:v>
      </x:c>
      <x:c r="B268" s="99" t="str">
        <x:v>动词</x:v>
      </x:c>
      <x:c r="C268" s="99" t="n">
        <x:v>20</x:v>
      </x:c>
      <x:c r="D268" s="99" t="str">
        <x:v>copy</x:v>
      </x:c>
      <x:c r="E268" s="99" t="str">
        <x:v>/ˈkɒpi/</x:v>
      </x:c>
      <x:c r="F268" s="99" t="str">
        <x:v>复制；抄写（兼作名词）</x:v>
      </x:c>
      <x:c r="G268" s="99" t="str">
        <x:v>20. copy /ˈkɒpi/ 复制；抄写（兼作名词）</x:v>
      </x:c>
    </x:row>
    <x:row r="269" ht="18" customHeight="1">
      <x:c r="A269" s="99" t="str">
        <x:v>C</x:v>
      </x:c>
      <x:c r="B269" s="99" t="str">
        <x:v>动词</x:v>
      </x:c>
      <x:c r="C269" s="99" t="n">
        <x:v>21</x:v>
      </x:c>
      <x:c r="D269" s="99" t="str">
        <x:v>cost</x:v>
      </x:c>
      <x:c r="E269" s="99" t="str">
        <x:v>/kɒst/</x:v>
      </x:c>
      <x:c r="F269" s="99" t="str">
        <x:v>价钱为；花费（兼作名词）</x:v>
      </x:c>
      <x:c r="G269" s="99" t="str">
        <x:v>21. cost /kɒst/ 价钱为；花费（兼作名词）</x:v>
      </x:c>
    </x:row>
    <x:row r="270" ht="18" customHeight="1">
      <x:c r="A270" s="99" t="str">
        <x:v>C</x:v>
      </x:c>
      <x:c r="B270" s="99" t="str">
        <x:v>动词</x:v>
      </x:c>
      <x:c r="C270" s="99" t="n">
        <x:v>22</x:v>
      </x:c>
      <x:c r="D270" s="99" t="str">
        <x:v>cough</x:v>
      </x:c>
      <x:c r="E270" s="99" t="str">
        <x:v>/kɒf/</x:v>
      </x:c>
      <x:c r="F270" s="99" t="str">
        <x:v>咳嗽</x:v>
      </x:c>
      <x:c r="G270" s="99" t="str">
        <x:v>22. cough /kɒf/ 咳嗽</x:v>
      </x:c>
    </x:row>
    <x:row r="271" ht="18" customHeight="1">
      <x:c r="A271" s="99" t="str">
        <x:v>C</x:v>
      </x:c>
      <x:c r="B271" s="99" t="str">
        <x:v>动词</x:v>
      </x:c>
      <x:c r="C271" s="99" t="n">
        <x:v>23</x:v>
      </x:c>
      <x:c r="D271" s="99" t="str">
        <x:v>count</x:v>
      </x:c>
      <x:c r="E271" s="99" t="str">
        <x:v>/kaʊnt/</x:v>
      </x:c>
      <x:c r="F271" s="99" t="str">
        <x:v>数；清点</x:v>
      </x:c>
      <x:c r="G271" s="99" t="str">
        <x:v>23. count /kaʊnt/ 数；清点</x:v>
      </x:c>
    </x:row>
    <x:row r="272" ht="18" customHeight="1">
      <x:c r="A272" s="99" t="str">
        <x:v>C</x:v>
      </x:c>
      <x:c r="B272" s="99" t="str">
        <x:v>动词</x:v>
      </x:c>
      <x:c r="C272" s="99" t="n">
        <x:v>24</x:v>
      </x:c>
      <x:c r="D272" s="99" t="str">
        <x:v>count</x:v>
      </x:c>
      <x:c r="E272" s="99" t="str"/>
      <x:c r="F272" s="99" t="str">
        <x:v>down 倒计时（固定搭配）</x:v>
      </x:c>
      <x:c r="G272" s="99" t="str">
        <x:v>24. count down 倒计时（固定搭配）</x:v>
      </x:c>
    </x:row>
    <x:row r="273" ht="18" customHeight="1">
      <x:c r="A273" s="99" t="str">
        <x:v>C</x:v>
      </x:c>
      <x:c r="B273" s="99" t="str">
        <x:v>动词</x:v>
      </x:c>
      <x:c r="C273" s="99" t="n">
        <x:v>25</x:v>
      </x:c>
      <x:c r="D273" s="99" t="str">
        <x:v>cover</x:v>
      </x:c>
      <x:c r="E273" s="99" t="str">
        <x:v>/ˈkʌvə(r)/</x:v>
      </x:c>
      <x:c r="F273" s="99" t="str">
        <x:v>盖；盖上</x:v>
      </x:c>
      <x:c r="G273" s="99" t="str">
        <x:v>25. cover /ˈkʌvə(r)/ 盖；盖上</x:v>
      </x:c>
    </x:row>
    <x:row r="274" ht="18" customHeight="1">
      <x:c r="A274" s="99" t="str">
        <x:v>C</x:v>
      </x:c>
      <x:c r="B274" s="99" t="str">
        <x:v>动词</x:v>
      </x:c>
      <x:c r="C274" s="99" t="n">
        <x:v>26</x:v>
      </x:c>
      <x:c r="D274" s="99" t="str">
        <x:v>create</x:v>
      </x:c>
      <x:c r="E274" s="99" t="str">
        <x:v>/kriːˈeɪt/</x:v>
      </x:c>
      <x:c r="F274" s="99" t="str">
        <x:v>创造</x:v>
      </x:c>
      <x:c r="G274" s="99" t="str">
        <x:v>26. create /kriːˈeɪt/ 创造</x:v>
      </x:c>
    </x:row>
    <x:row r="275" ht="18" customHeight="1">
      <x:c r="A275" s="99" t="str">
        <x:v>C</x:v>
      </x:c>
      <x:c r="B275" s="99" t="str">
        <x:v>动词</x:v>
      </x:c>
      <x:c r="C275" s="99" t="n">
        <x:v>27</x:v>
      </x:c>
      <x:c r="D275" s="99" t="str">
        <x:v>cross</x:v>
      </x:c>
      <x:c r="E275" s="99" t="str">
        <x:v>/krɒs/</x:v>
      </x:c>
      <x:c r="F275" s="99" t="str">
        <x:v>穿过</x:v>
      </x:c>
      <x:c r="G275" s="99" t="str">
        <x:v>27. cross /krɒs/ 穿过</x:v>
      </x:c>
    </x:row>
    <x:row r="276" ht="18" customHeight="1">
      <x:c r="A276" s="99" t="str">
        <x:v>C</x:v>
      </x:c>
      <x:c r="B276" s="99" t="str">
        <x:v>动词</x:v>
      </x:c>
      <x:c r="C276" s="99" t="n">
        <x:v>28</x:v>
      </x:c>
      <x:c r="D276" s="99" t="str">
        <x:v>cry</x:v>
      </x:c>
      <x:c r="E276" s="99" t="str">
        <x:v>/kraɪ/</x:v>
      </x:c>
      <x:c r="F276" s="99" t="str">
        <x:v>哭；喊叫</x:v>
      </x:c>
      <x:c r="G276" s="99" t="str">
        <x:v>28. cry /kraɪ/ 哭；喊叫</x:v>
      </x:c>
    </x:row>
    <x:row r="277" ht="18" customHeight="1">
      <x:c r="A277" s="99" t="str">
        <x:v>C</x:v>
      </x:c>
      <x:c r="B277" s="99" t="str">
        <x:v>动词</x:v>
      </x:c>
      <x:c r="C277" s="99" t="n">
        <x:v>29</x:v>
      </x:c>
      <x:c r="D277" s="99" t="str">
        <x:v>cut</x:v>
      </x:c>
      <x:c r="E277" s="99" t="str">
        <x:v>/kʌt/</x:v>
      </x:c>
      <x:c r="F277" s="99" t="str">
        <x:v>切；剪（兼作名词）</x:v>
      </x:c>
      <x:c r="G277" s="99" t="str">
        <x:v>29. cut /kʌt/ 切；剪（兼作名词）</x:v>
      </x:c>
    </x:row>
    <x:row r="278" ht="18" customHeight="1">
      <x:c r="A278" s="99" t="str">
        <x:v>C</x:v>
      </x:c>
      <x:c r="B278" s="99" t="str">
        <x:v>形容词</x:v>
      </x:c>
      <x:c r="C278" s="99" t="n">
        <x:v>1</x:v>
      </x:c>
      <x:c r="D278" s="99" t="str">
        <x:v>calm</x:v>
      </x:c>
      <x:c r="E278" s="99" t="str">
        <x:v>/kɑːm/</x:v>
      </x:c>
      <x:c r="F278" s="99" t="str">
        <x:v>镇静的；沉着的</x:v>
      </x:c>
      <x:c r="G278" s="99" t="str">
        <x:v>1. calm /kɑːm/ 镇静的；沉着的</x:v>
      </x:c>
    </x:row>
    <x:row r="279" ht="18" customHeight="1">
      <x:c r="A279" s="99" t="str">
        <x:v>C</x:v>
      </x:c>
      <x:c r="B279" s="99" t="str">
        <x:v>形容词</x:v>
      </x:c>
      <x:c r="C279" s="99" t="n">
        <x:v>2</x:v>
      </x:c>
      <x:c r="D279" s="99" t="str">
        <x:v>careful</x:v>
      </x:c>
      <x:c r="E279" s="99" t="str">
        <x:v>/ˈkeəfl/</x:v>
      </x:c>
      <x:c r="F279" s="99" t="str">
        <x:v>仔细的；认真的；小心的</x:v>
      </x:c>
      <x:c r="G279" s="99" t="str">
        <x:v>2. careful /ˈkeəfl/ 仔细的；认真的；小心的</x:v>
      </x:c>
    </x:row>
    <x:row r="280" ht="18" customHeight="1">
      <x:c r="A280" s="99" t="str">
        <x:v>C</x:v>
      </x:c>
      <x:c r="B280" s="99" t="str">
        <x:v>形容词</x:v>
      </x:c>
      <x:c r="C280" s="99" t="n">
        <x:v>3</x:v>
      </x:c>
      <x:c r="D280" s="99" t="str">
        <x:v>certain</x:v>
      </x:c>
      <x:c r="E280" s="99" t="str">
        <x:v>/ˈsɜːtn/</x:v>
      </x:c>
      <x:c r="F280" s="99" t="str">
        <x:v>确定的；无疑的</x:v>
      </x:c>
      <x:c r="G280" s="99" t="str">
        <x:v>3. certain /ˈsɜːtn/ 确定的；无疑的</x:v>
      </x:c>
    </x:row>
    <x:row r="281" ht="18" customHeight="1">
      <x:c r="A281" s="99" t="str">
        <x:v>C</x:v>
      </x:c>
      <x:c r="B281" s="99" t="str">
        <x:v>形容词</x:v>
      </x:c>
      <x:c r="C281" s="99" t="n">
        <x:v>4</x:v>
      </x:c>
      <x:c r="D281" s="99" t="str">
        <x:v>cheap</x:v>
      </x:c>
      <x:c r="E281" s="99" t="str">
        <x:v>/tʃiːp/</x:v>
      </x:c>
      <x:c r="F281" s="99" t="str">
        <x:v>便宜的</x:v>
      </x:c>
      <x:c r="G281" s="99" t="str">
        <x:v>4. cheap /tʃiːp/ 便宜的</x:v>
      </x:c>
    </x:row>
    <x:row r="282" ht="18" customHeight="1">
      <x:c r="A282" s="99" t="str">
        <x:v>C</x:v>
      </x:c>
      <x:c r="B282" s="99" t="str">
        <x:v>形容词</x:v>
      </x:c>
      <x:c r="C282" s="99" t="n">
        <x:v>5</x:v>
      </x:c>
      <x:c r="D282" s="99" t="str">
        <x:v>cheerful</x:v>
      </x:c>
      <x:c r="E282" s="99" t="str">
        <x:v>/ˈtʃɪəfl/</x:v>
      </x:c>
      <x:c r="F282" s="99" t="str">
        <x:v>快乐的；高兴的</x:v>
      </x:c>
      <x:c r="G282" s="99" t="str">
        <x:v>5. cheerful /ˈtʃɪəfl/ 快乐的；高兴的</x:v>
      </x:c>
    </x:row>
    <x:row r="283" ht="18" customHeight="1">
      <x:c r="A283" s="99" t="str">
        <x:v>C</x:v>
      </x:c>
      <x:c r="B283" s="99" t="str">
        <x:v>形容词</x:v>
      </x:c>
      <x:c r="C283" s="99" t="n">
        <x:v>6</x:v>
      </x:c>
      <x:c r="D283" s="99" t="str">
        <x:v>Chinese</x:v>
      </x:c>
      <x:c r="E283" s="99" t="str">
        <x:v>/ˌtʃaɪˈniːz/</x:v>
      </x:c>
      <x:c r="F283" s="99" t="str">
        <x:v>中国的；中国人的</x:v>
      </x:c>
      <x:c r="G283" s="99" t="str">
        <x:v>6. Chinese /ˌtʃaɪˈniːz/ 中国的；中国人的</x:v>
      </x:c>
    </x:row>
    <x:row r="284" ht="18" customHeight="1">
      <x:c r="A284" s="99" t="str">
        <x:v>C</x:v>
      </x:c>
      <x:c r="B284" s="99" t="str">
        <x:v>形容词</x:v>
      </x:c>
      <x:c r="C284" s="99" t="n">
        <x:v>7</x:v>
      </x:c>
      <x:c r="D284" s="99" t="str">
        <x:v>classical</x:v>
      </x:c>
      <x:c r="E284" s="99" t="str">
        <x:v>/ˈklæsɪkl/</x:v>
      </x:c>
      <x:c r="F284" s="99" t="str">
        <x:v>经典的；古典的</x:v>
      </x:c>
      <x:c r="G284" s="99" t="str">
        <x:v>7. classical /ˈklæsɪkl/ 经典的；古典的</x:v>
      </x:c>
    </x:row>
    <x:row r="285" ht="18" customHeight="1">
      <x:c r="A285" s="99" t="str">
        <x:v>C</x:v>
      </x:c>
      <x:c r="B285" s="99" t="str">
        <x:v>形容词</x:v>
      </x:c>
      <x:c r="C285" s="99" t="n">
        <x:v>8</x:v>
      </x:c>
      <x:c r="D285" s="99" t="str">
        <x:v>clear</x:v>
      </x:c>
      <x:c r="E285" s="99" t="str">
        <x:v>/klɪə(r)/</x:v>
      </x:c>
      <x:c r="F285" s="99" t="str">
        <x:v>不和……接触的；不挨……太近的；（天气）晴朗的</x:v>
      </x:c>
      <x:c r="G285" s="99" t="str">
        <x:v>8. clear /klɪə(r)/ 不和……接触的；不挨……太近的；（天气）晴朗的</x:v>
      </x:c>
    </x:row>
    <x:row r="286" ht="18" customHeight="1">
      <x:c r="A286" s="99" t="str">
        <x:v>C</x:v>
      </x:c>
      <x:c r="B286" s="99" t="str">
        <x:v>形容词</x:v>
      </x:c>
      <x:c r="C286" s="99" t="n">
        <x:v>9</x:v>
      </x:c>
      <x:c r="D286" s="99" t="str">
        <x:v>clever</x:v>
      </x:c>
      <x:c r="E286" s="99" t="str">
        <x:v>/ˈklevə(r)/</x:v>
      </x:c>
      <x:c r="F286" s="99" t="str">
        <x:v>聪明的；机灵的</x:v>
      </x:c>
      <x:c r="G286" s="99" t="str">
        <x:v>9. clever /ˈklevə(r)/ 聪明的；机灵的</x:v>
      </x:c>
    </x:row>
    <x:row r="287" ht="18" customHeight="1">
      <x:c r="A287" s="99" t="str">
        <x:v>C</x:v>
      </x:c>
      <x:c r="B287" s="99" t="str">
        <x:v>形容词</x:v>
      </x:c>
      <x:c r="C287" s="99" t="n">
        <x:v>10</x:v>
      </x:c>
      <x:c r="D287" s="99" t="str">
        <x:v>close</x:v>
      </x:c>
      <x:c r="E287" s="99" t="str">
        <x:v>/kləʊs/</x:v>
      </x:c>
      <x:c r="F287" s="99" t="str">
        <x:v>（距离上）近的；接近的</x:v>
      </x:c>
      <x:c r="G287" s="99" t="str">
        <x:v>10. close /kləʊs/ （距离上）近的；接近的</x:v>
      </x:c>
    </x:row>
    <x:row r="288" ht="18" customHeight="1">
      <x:c r="A288" s="99" t="str">
        <x:v>C</x:v>
      </x:c>
      <x:c r="B288" s="99" t="str">
        <x:v>形容词</x:v>
      </x:c>
      <x:c r="C288" s="99" t="n">
        <x:v>11</x:v>
      </x:c>
      <x:c r="D288" s="99" t="str">
        <x:v>cloudy</x:v>
      </x:c>
      <x:c r="E288" s="99" t="str">
        <x:v>/ˈklaʊdi/</x:v>
      </x:c>
      <x:c r="F288" s="99" t="str">
        <x:v>多云的</x:v>
      </x:c>
      <x:c r="G288" s="99" t="str">
        <x:v>11. cloudy /ˈklaʊdi/ 多云的</x:v>
      </x:c>
    </x:row>
    <x:row r="289" ht="18" customHeight="1">
      <x:c r="A289" s="99" t="str">
        <x:v>C</x:v>
      </x:c>
      <x:c r="B289" s="99" t="str">
        <x:v>形容词</x:v>
      </x:c>
      <x:c r="C289" s="99" t="n">
        <x:v>12</x:v>
      </x:c>
      <x:c r="D289" s="99" t="str">
        <x:v>cold</x:v>
      </x:c>
      <x:c r="E289" s="99" t="str">
        <x:v>/kəʊld/</x:v>
      </x:c>
      <x:c r="F289" s="99" t="str">
        <x:v>寒冷的</x:v>
      </x:c>
      <x:c r="G289" s="99" t="str">
        <x:v>12. cold /kəʊld/ 寒冷的</x:v>
      </x:c>
    </x:row>
    <x:row r="290" ht="18" customHeight="1">
      <x:c r="A290" s="99" t="str">
        <x:v>C</x:v>
      </x:c>
      <x:c r="B290" s="99" t="str">
        <x:v>形容词</x:v>
      </x:c>
      <x:c r="C290" s="99" t="n">
        <x:v>13</x:v>
      </x:c>
      <x:c r="D290" s="99" t="str">
        <x:v>comfortable</x:v>
      </x:c>
      <x:c r="E290" s="99" t="str">
        <x:v>/ˈkʌmftəbl/</x:v>
      </x:c>
      <x:c r="F290" s="99" t="str">
        <x:v>舒适的；舒服的</x:v>
      </x:c>
      <x:c r="G290" s="99" t="str">
        <x:v>13. comfortable /ˈkʌmftəbl/ 舒适的；舒服的</x:v>
      </x:c>
    </x:row>
    <x:row r="291" ht="18" customHeight="1">
      <x:c r="A291" s="99" t="str">
        <x:v>C</x:v>
      </x:c>
      <x:c r="B291" s="99" t="str">
        <x:v>形容词</x:v>
      </x:c>
      <x:c r="C291" s="99" t="n">
        <x:v>14</x:v>
      </x:c>
      <x:c r="D291" s="99" t="str">
        <x:v>common</x:v>
      </x:c>
      <x:c r="E291" s="99" t="str">
        <x:v>/ˈkɒmən/</x:v>
      </x:c>
      <x:c r="F291" s="99" t="str">
        <x:v>普通的；一般的</x:v>
      </x:c>
      <x:c r="G291" s="99" t="str">
        <x:v>14. common /ˈkɒmən/ 普通的；一般的</x:v>
      </x:c>
    </x:row>
    <x:row r="292" ht="18" customHeight="1">
      <x:c r="A292" s="99" t="str">
        <x:v>C</x:v>
      </x:c>
      <x:c r="B292" s="99" t="str">
        <x:v>形容词</x:v>
      </x:c>
      <x:c r="C292" s="99" t="n">
        <x:v>15</x:v>
      </x:c>
      <x:c r="D292" s="99" t="str">
        <x:v>confident</x:v>
      </x:c>
      <x:c r="E292" s="99" t="str">
        <x:v>/ˈkɒnfɪdənt/</x:v>
      </x:c>
      <x:c r="F292" s="99" t="str">
        <x:v>自信的</x:v>
      </x:c>
      <x:c r="G292" s="99" t="str">
        <x:v>15. confident /ˈkɒnfɪdənt/ 自信的</x:v>
      </x:c>
    </x:row>
    <x:row r="293" ht="18" customHeight="1">
      <x:c r="A293" s="99" t="str">
        <x:v>C</x:v>
      </x:c>
      <x:c r="B293" s="99" t="str">
        <x:v>形容词</x:v>
      </x:c>
      <x:c r="C293" s="99" t="n">
        <x:v>16</x:v>
      </x:c>
      <x:c r="D293" s="99" t="str">
        <x:v>cool</x:v>
      </x:c>
      <x:c r="E293" s="99" t="str">
        <x:v>/kuːl/</x:v>
      </x:c>
      <x:c r="F293" s="99" t="str">
        <x:v>凉快的；时髦的；酷的</x:v>
      </x:c>
      <x:c r="G293" s="99" t="str">
        <x:v>16. cool /kuːl/ 凉快的；时髦的；酷的</x:v>
      </x:c>
    </x:row>
    <x:row r="294" ht="18" customHeight="1">
      <x:c r="A294" s="99" t="str">
        <x:v>C</x:v>
      </x:c>
      <x:c r="B294" s="99" t="str">
        <x:v>形容词</x:v>
      </x:c>
      <x:c r="C294" s="99" t="n">
        <x:v>17</x:v>
      </x:c>
      <x:c r="D294" s="99" t="str">
        <x:v>correct</x:v>
      </x:c>
      <x:c r="E294" s="99" t="str">
        <x:v>/kəˈrekt/</x:v>
      </x:c>
      <x:c r="F294" s="99" t="str">
        <x:v>正确的；对的</x:v>
      </x:c>
      <x:c r="G294" s="99" t="str">
        <x:v>17. correct /kəˈrekt/ 正确的；对的</x:v>
      </x:c>
    </x:row>
    <x:row r="295" ht="18" customHeight="1">
      <x:c r="A295" s="99" t="str">
        <x:v>C</x:v>
      </x:c>
      <x:c r="B295" s="99" t="str">
        <x:v>形容词</x:v>
      </x:c>
      <x:c r="C295" s="99" t="n">
        <x:v>18</x:v>
      </x:c>
      <x:c r="D295" s="99" t="str">
        <x:v>crazy</x:v>
      </x:c>
      <x:c r="E295" s="99" t="str">
        <x:v>/ˈkreɪzi/</x:v>
      </x:c>
      <x:c r="F295" s="99" t="str">
        <x:v>疯狂的；荒唐的</x:v>
      </x:c>
      <x:c r="G295" s="99" t="str">
        <x:v>18. crazy /ˈkreɪzi/ 疯狂的；荒唐的</x:v>
      </x:c>
    </x:row>
    <x:row r="296" ht="18" customHeight="1">
      <x:c r="A296" s="99" t="str">
        <x:v>C</x:v>
      </x:c>
      <x:c r="B296" s="99" t="str">
        <x:v>形容词</x:v>
      </x:c>
      <x:c r="C296" s="99" t="n">
        <x:v>19</x:v>
      </x:c>
      <x:c r="D296" s="99" t="str">
        <x:v>crowded</x:v>
      </x:c>
      <x:c r="E296" s="99" t="str">
        <x:v>/ˈkraʊdɪd/</x:v>
      </x:c>
      <x:c r="F296" s="99" t="str">
        <x:v>拥挤的；人数过多的</x:v>
      </x:c>
      <x:c r="G296" s="99" t="str">
        <x:v>19. crowded /ˈkraʊdɪd/ 拥挤的；人数过多的</x:v>
      </x:c>
    </x:row>
    <x:row r="297" ht="18" customHeight="1">
      <x:c r="A297" s="99" t="str">
        <x:v>C</x:v>
      </x:c>
      <x:c r="B297" s="99" t="str">
        <x:v>形容词</x:v>
      </x:c>
      <x:c r="C297" s="99" t="n">
        <x:v>20</x:v>
      </x:c>
      <x:c r="D297" s="99" t="str">
        <x:v>cute</x:v>
      </x:c>
      <x:c r="E297" s="99" t="str">
        <x:v>/kjuːt/</x:v>
      </x:c>
      <x:c r="F297" s="99" t="str">
        <x:v>可爱的</x:v>
      </x:c>
      <x:c r="G297" s="99" t="str">
        <x:v>20. cute /kjuːt/ 可爱的</x:v>
      </x:c>
    </x:row>
    <x:row r="298" ht="18" customHeight="1">
      <x:c r="A298" s="99" t="str">
        <x:v>C</x:v>
      </x:c>
      <x:c r="B298" s="99" t="str">
        <x:v>副词</x:v>
      </x:c>
      <x:c r="C298" s="99" t="n">
        <x:v>1</x:v>
      </x:c>
      <x:c r="D298" s="99" t="str">
        <x:v>certainly</x:v>
      </x:c>
      <x:c r="E298" s="99" t="str">
        <x:v>/ˈsɜːtnli/</x:v>
      </x:c>
      <x:c r="F298" s="99" t="str">
        <x:v>当然；自然；行</x:v>
      </x:c>
      <x:c r="G298" s="99" t="str">
        <x:v>1. certainly /ˈsɜːtnli/ 当然；自然；行</x:v>
      </x:c>
    </x:row>
    <x:row r="299" ht="18" customHeight="1">
      <x:c r="A299" s="99" t="str">
        <x:v>C</x:v>
      </x:c>
      <x:c r="B299" s="99" t="str">
        <x:v>副词</x:v>
      </x:c>
      <x:c r="C299" s="99" t="n">
        <x:v>2</x:v>
      </x:c>
      <x:c r="D299" s="99" t="str">
        <x:v>close</x:v>
      </x:c>
      <x:c r="E299" s="99" t="str">
        <x:v>/kləʊs/</x:v>
      </x:c>
      <x:c r="F299" s="99" t="str">
        <x:v>（距离上）接近地；靠近地（兼作形容词）</x:v>
      </x:c>
      <x:c r="G299" s="99" t="str">
        <x:v>2. close /kləʊs/ （距离上）接近地；靠近地（兼作形容词）</x:v>
      </x:c>
    </x:row>
    <x:row r="300" ht="18" customHeight="1">
      <x:c r="A300" s="99" t="str">
        <x:v>C</x:v>
      </x:c>
      <x:c r="B300" s="99" t="str">
        <x:v>副词</x:v>
      </x:c>
      <x:c r="C300" s="99" t="n">
        <x:v>3</x:v>
      </x:c>
      <x:c r="D300" s="99" t="str">
        <x:v>close</x:v>
      </x:c>
      <x:c r="E300" s="99" t="str"/>
      <x:c r="F300" s="99" t="str">
        <x:v>down （永久）关闭；关停（短语副词用法）</x:v>
      </x:c>
      <x:c r="G300" s="99" t="str">
        <x:v>3. close down （永久）关闭；关停（短语副词用法）</x:v>
      </x:c>
    </x:row>
    <x:row r="301" ht="18" customHeight="1">
      <x:c r="A301" s="99" t="str">
        <x:v>C</x:v>
      </x:c>
      <x:c r="B301" s="99" t="str">
        <x:v>情态动词</x:v>
      </x:c>
      <x:c r="C301" s="99" t="n">
        <x:v>1</x:v>
      </x:c>
      <x:c r="D301" s="99" t="str">
        <x:v>can</x:v>
      </x:c>
      <x:c r="E301" s="99" t="str">
        <x:v>/kæn; kən/</x:v>
      </x:c>
      <x:c r="F301" s="99" t="str">
        <x:v>能；能够</x:v>
      </x:c>
      <x:c r="G301" s="99" t="str">
        <x:v>1. can /kæn; kən/ 能；能够</x:v>
      </x:c>
    </x:row>
    <x:row r="302" ht="18" customHeight="1">
      <x:c r="A302" s="99" t="str">
        <x:v>C</x:v>
      </x:c>
      <x:c r="B302" s="99" t="str">
        <x:v>情态动词</x:v>
      </x:c>
      <x:c r="C302" s="99" t="n">
        <x:v>2</x:v>
      </x:c>
      <x:c r="D302" s="99" t="str">
        <x:v>can't</x:v>
      </x:c>
      <x:c r="E302" s="99" t="str"/>
      <x:c r="F302" s="99" t="str">
        <x:v>cannot 不能</x:v>
      </x:c>
      <x:c r="G302" s="99" t="str">
        <x:v>2. can't = cannot 不能</x:v>
      </x:c>
    </x:row>
    <x:row r="303" ht="18" customHeight="1">
      <x:c r="A303" s="99" t="str">
        <x:v>C</x:v>
      </x:c>
      <x:c r="B303" s="99" t="str">
        <x:v>短语</x:v>
      </x:c>
      <x:c r="C303" s="99" t="n">
        <x:v>1</x:v>
      </x:c>
      <x:c r="D303" s="99" t="str">
        <x:v>be</x:v>
      </x:c>
      <x:c r="E303" s="99" t="str"/>
      <x:c r="F303" s="99" t="str">
        <x:v>careful with 小心对待……</x:v>
      </x:c>
      <x:c r="G303" s="99" t="str">
        <x:v>1. be careful with 小心对待……</x:v>
      </x:c>
    </x:row>
    <x:row r="304" ht="18" customHeight="1">
      <x:c r="A304" s="99" t="str">
        <x:v>C</x:v>
      </x:c>
      <x:c r="B304" s="99" t="str">
        <x:v>短语</x:v>
      </x:c>
      <x:c r="C304" s="99" t="n">
        <x:v>2</x:v>
      </x:c>
      <x:c r="D304" s="99" t="str">
        <x:v>can't</x:v>
      </x:c>
      <x:c r="E304" s="99" t="str"/>
      <x:c r="F304" s="99" t="str">
        <x:v>help doing sth. 忍不住做某事</x:v>
      </x:c>
      <x:c r="G304" s="99" t="str">
        <x:v>2. can't help doing sth. 忍不住做某事</x:v>
      </x:c>
    </x:row>
    <x:row r="305" ht="18" customHeight="1">
      <x:c r="A305" s="99" t="str">
        <x:v>C</x:v>
      </x:c>
      <x:c r="B305" s="99" t="str">
        <x:v>短语</x:v>
      </x:c>
      <x:c r="C305" s="99" t="n">
        <x:v>3</x:v>
      </x:c>
      <x:c r="D305" s="99" t="str">
        <x:v>catch</x:v>
      </x:c>
      <x:c r="E305" s="99" t="str"/>
      <x:c r="F305" s="99" t="str">
        <x:v>a cold 感冒</x:v>
      </x:c>
      <x:c r="G305" s="99" t="str">
        <x:v>3. catch a cold 感冒</x:v>
      </x:c>
    </x:row>
    <x:row r="306" ht="18" customHeight="1">
      <x:c r="A306" s="99" t="str">
        <x:v>C</x:v>
      </x:c>
      <x:c r="B306" s="99" t="str">
        <x:v>短语</x:v>
      </x:c>
      <x:c r="C306" s="99" t="n">
        <x:v>4</x:v>
      </x:c>
      <x:c r="D306" s="99" t="str">
        <x:v>Children's</x:v>
      </x:c>
      <x:c r="E306" s="99" t="str"/>
      <x:c r="F306" s="99" t="str">
        <x:v>Day 儿童节</x:v>
      </x:c>
      <x:c r="G306" s="99" t="str">
        <x:v>4. Children's Day 儿童节</x:v>
      </x:c>
    </x:row>
    <x:row r="307" ht="18" customHeight="1">
      <x:c r="A307" s="99" t="str">
        <x:v>C</x:v>
      </x:c>
      <x:c r="B307" s="99" t="str">
        <x:v>短语</x:v>
      </x:c>
      <x:c r="C307" s="99" t="n">
        <x:v>5</x:v>
      </x:c>
      <x:c r="D307" s="99" t="str">
        <x:v>come</x:v>
      </x:c>
      <x:c r="E307" s="99" t="str"/>
      <x:c r="F307" s="99" t="str">
        <x:v>from 来自</x:v>
      </x:c>
      <x:c r="G307" s="99" t="str">
        <x:v>5. come from 来自</x:v>
      </x:c>
    </x:row>
    <x:row r="308" ht="18" customHeight="1">
      <x:c r="A308" s="99" t="str">
        <x:v>C</x:v>
      </x:c>
      <x:c r="B308" s="99" t="str">
        <x:v>短语</x:v>
      </x:c>
      <x:c r="C308" s="99" t="n">
        <x:v>6</x:v>
      </x:c>
      <x:c r="D308" s="99" t="str">
        <x:v>come</x:v>
      </x:c>
      <x:c r="E308" s="99" t="str"/>
      <x:c r="F308" s="99" t="str">
        <x:v>out 问世；出版</x:v>
      </x:c>
      <x:c r="G308" s="99" t="str">
        <x:v>6. come out 问世；出版</x:v>
      </x:c>
    </x:row>
    <x:row r="309" ht="18" customHeight="1">
      <x:c r="A309" s="99" t="str">
        <x:v>C</x:v>
      </x:c>
      <x:c r="B309" s="99" t="str">
        <x:v>短语</x:v>
      </x:c>
      <x:c r="C309" s="99" t="n">
        <x:v>7</x:v>
      </x:c>
      <x:c r="D309" s="99" t="str">
        <x:v>count</x:v>
      </x:c>
      <x:c r="E309" s="99" t="str"/>
      <x:c r="F309" s="99" t="str">
        <x:v>down 倒计时</x:v>
      </x:c>
      <x:c r="G309" s="99" t="str">
        <x:v>7. count down 倒计时</x:v>
      </x:c>
    </x:row>
    <x:row r="310" ht="18" customHeight="1">
      <x:c r="A310" s="99" t="str">
        <x:v>C</x:v>
      </x:c>
      <x:c r="B310" s="99" t="str">
        <x:v>短语</x:v>
      </x:c>
      <x:c r="C310" s="99" t="n">
        <x:v>8</x:v>
      </x:c>
      <x:c r="D310" s="99" t="str">
        <x:v>close</x:v>
      </x:c>
      <x:c r="E310" s="99" t="str"/>
      <x:c r="F310" s="99" t="str">
        <x:v>down （永久）关闭；关停</x:v>
      </x:c>
      <x:c r="G310" s="99" t="str">
        <x:v>8. close down （永久）关闭；关停</x:v>
      </x:c>
    </x:row>
    <x:row r="311" ht="18" customHeight="1">
      <x:c r="A311" s="99" t="str">
        <x:v>C</x:v>
      </x:c>
      <x:c r="B311" s="99" t="str">
        <x:v>短语</x:v>
      </x:c>
      <x:c r="C311" s="99" t="n">
        <x:v>9</x:v>
      </x:c>
      <x:c r="D311" s="99" t="str">
        <x:v>in</x:v>
      </x:c>
      <x:c r="E311" s="99" t="str"/>
      <x:c r="F311" s="99" t="str">
        <x:v>excellent condition 健康状况很好</x:v>
      </x:c>
      <x:c r="G311" s="99" t="str">
        <x:v>9. in excellent condition 健康状况很好</x:v>
      </x:c>
    </x:row>
    <x:row r="312" ht="18" customHeight="1">
      <x:c r="A312" s="99" t="str">
        <x:v>D</x:v>
      </x:c>
      <x:c r="B312" s="99" t="str">
        <x:v>名词</x:v>
      </x:c>
      <x:c r="C312" s="99" t="n">
        <x:v>1</x:v>
      </x:c>
      <x:c r="D312" s="99" t="str">
        <x:v>daily</x:v>
      </x:c>
      <x:c r="E312" s="99" t="str">
        <x:v>/ˈdeɪli/</x:v>
      </x:c>
      <x:c r="F312" s="99" t="str">
        <x:v>日常；（daily life 日常生活）</x:v>
      </x:c>
      <x:c r="G312" s="99" t="str">
        <x:v>1. daily /ˈdeɪli/ 日常；（daily life 日常生活）</x:v>
      </x:c>
    </x:row>
    <x:row r="313" ht="18" customHeight="1">
      <x:c r="A313" s="99" t="str">
        <x:v>D</x:v>
      </x:c>
      <x:c r="B313" s="99" t="str">
        <x:v>名词</x:v>
      </x:c>
      <x:c r="C313" s="99" t="n">
        <x:v>2</x:v>
      </x:c>
      <x:c r="D313" s="99" t="str">
        <x:v>dance</x:v>
      </x:c>
      <x:c r="E313" s="99" t="str">
        <x:v>/dɑːns/</x:v>
      </x:c>
      <x:c r="F313" s="99" t="str">
        <x:v>舞曲；舞蹈</x:v>
      </x:c>
      <x:c r="G313" s="99" t="str">
        <x:v>2. dance /dɑːns/ 舞曲；舞蹈</x:v>
      </x:c>
    </x:row>
    <x:row r="314" ht="18" customHeight="1">
      <x:c r="A314" s="99" t="str">
        <x:v>D</x:v>
      </x:c>
      <x:c r="B314" s="99" t="str">
        <x:v>名词</x:v>
      </x:c>
      <x:c r="C314" s="99" t="n">
        <x:v>3</x:v>
      </x:c>
      <x:c r="D314" s="99" t="str">
        <x:v>danger</x:v>
      </x:c>
      <x:c r="E314" s="99" t="str">
        <x:v>/ˈdeɪndʒə(r)/</x:v>
      </x:c>
      <x:c r="F314" s="99" t="str">
        <x:v>危险；危害</x:v>
      </x:c>
      <x:c r="G314" s="99" t="str">
        <x:v>3. danger /ˈdeɪndʒə(r)/ 危险；危害</x:v>
      </x:c>
    </x:row>
    <x:row r="315" ht="18" customHeight="1">
      <x:c r="A315" s="99" t="str">
        <x:v>D</x:v>
      </x:c>
      <x:c r="B315" s="99" t="str">
        <x:v>名词</x:v>
      </x:c>
      <x:c r="C315" s="99" t="n">
        <x:v>4</x:v>
      </x:c>
      <x:c r="D315" s="99" t="str">
        <x:v>date</x:v>
      </x:c>
      <x:c r="E315" s="99" t="str">
        <x:v>/deɪt/</x:v>
      </x:c>
      <x:c r="F315" s="99" t="str">
        <x:v>日期</x:v>
      </x:c>
      <x:c r="G315" s="99" t="str">
        <x:v>4. date /deɪt/ 日期</x:v>
      </x:c>
    </x:row>
    <x:row r="316" ht="18" customHeight="1">
      <x:c r="A316" s="99" t="str">
        <x:v>D</x:v>
      </x:c>
      <x:c r="B316" s="99" t="str">
        <x:v>名词</x:v>
      </x:c>
      <x:c r="C316" s="99" t="n">
        <x:v>5</x:v>
      </x:c>
      <x:c r="D316" s="99" t="str">
        <x:v>daughter</x:v>
      </x:c>
      <x:c r="E316" s="99" t="str">
        <x:v>/ˈdɔːtə(r)/</x:v>
      </x:c>
      <x:c r="F316" s="99" t="str">
        <x:v>女儿</x:v>
      </x:c>
      <x:c r="G316" s="99" t="str">
        <x:v>5. daughter /ˈdɔːtə(r)/ 女儿</x:v>
      </x:c>
    </x:row>
    <x:row r="317" ht="18" customHeight="1">
      <x:c r="A317" s="99" t="str">
        <x:v>D</x:v>
      </x:c>
      <x:c r="B317" s="99" t="str">
        <x:v>名词</x:v>
      </x:c>
      <x:c r="C317" s="99" t="n">
        <x:v>6</x:v>
      </x:c>
      <x:c r="D317" s="99" t="str">
        <x:v>day</x:v>
      </x:c>
      <x:c r="E317" s="99" t="str">
        <x:v>/deɪ/</x:v>
      </x:c>
      <x:c r="F317" s="99" t="str">
        <x:v>一天</x:v>
      </x:c>
      <x:c r="G317" s="99" t="str">
        <x:v>6. day /deɪ/ 一天</x:v>
      </x:c>
    </x:row>
    <x:row r="318" ht="18" customHeight="1">
      <x:c r="A318" s="99" t="str">
        <x:v>D</x:v>
      </x:c>
      <x:c r="B318" s="99" t="str">
        <x:v>名词</x:v>
      </x:c>
      <x:c r="C318" s="99" t="n">
        <x:v>7</x:v>
      </x:c>
      <x:c r="D318" s="99" t="str">
        <x:v>December</x:v>
      </x:c>
      <x:c r="E318" s="99" t="str">
        <x:v>/dɪˈsembə(r)/</x:v>
      </x:c>
      <x:c r="F318" s="99" t="str">
        <x:v>12月</x:v>
      </x:c>
      <x:c r="G318" s="99" t="str">
        <x:v>7. December /dɪˈsembə(r)/ 12月</x:v>
      </x:c>
    </x:row>
    <x:row r="319" ht="18" customHeight="1">
      <x:c r="A319" s="99" t="str">
        <x:v>D</x:v>
      </x:c>
      <x:c r="B319" s="99" t="str">
        <x:v>名词</x:v>
      </x:c>
      <x:c r="C319" s="99" t="n">
        <x:v>8</x:v>
      </x:c>
      <x:c r="D319" s="99" t="str">
        <x:v>decision</x:v>
      </x:c>
      <x:c r="E319" s="99" t="str">
        <x:v>/dɪˈsɪʒn/</x:v>
      </x:c>
      <x:c r="F319" s="99" t="str">
        <x:v>决定</x:v>
      </x:c>
      <x:c r="G319" s="99" t="str">
        <x:v>8. decision /dɪˈsɪʒn/ 决定</x:v>
      </x:c>
    </x:row>
    <x:row r="320" ht="18" customHeight="1">
      <x:c r="A320" s="99" t="str">
        <x:v>D</x:v>
      </x:c>
      <x:c r="B320" s="99" t="str">
        <x:v>名词</x:v>
      </x:c>
      <x:c r="C320" s="99" t="n">
        <x:v>9</x:v>
      </x:c>
      <x:c r="D320" s="99" t="str">
        <x:v>degree</x:v>
      </x:c>
      <x:c r="E320" s="99" t="str">
        <x:v>/dɪˈɡriː/</x:v>
      </x:c>
      <x:c r="F320" s="99" t="str">
        <x:v>度；度数</x:v>
      </x:c>
      <x:c r="G320" s="99" t="str">
        <x:v>9. degree /dɪˈɡriː/ 度；度数</x:v>
      </x:c>
    </x:row>
    <x:row r="321" ht="18" customHeight="1">
      <x:c r="A321" s="99" t="str">
        <x:v>D</x:v>
      </x:c>
      <x:c r="B321" s="99" t="str">
        <x:v>名词</x:v>
      </x:c>
      <x:c r="C321" s="99" t="n">
        <x:v>10</x:v>
      </x:c>
      <x:c r="D321" s="99" t="str">
        <x:v>desk</x:v>
      </x:c>
      <x:c r="E321" s="99" t="str">
        <x:v>/desk/</x:v>
      </x:c>
      <x:c r="F321" s="99" t="str">
        <x:v>桌子</x:v>
      </x:c>
      <x:c r="G321" s="99" t="str">
        <x:v>10. desk /desk/ 桌子</x:v>
      </x:c>
    </x:row>
    <x:row r="322" ht="18" customHeight="1">
      <x:c r="A322" s="99" t="str">
        <x:v>D</x:v>
      </x:c>
      <x:c r="B322" s="99" t="str">
        <x:v>名词</x:v>
      </x:c>
      <x:c r="C322" s="99" t="n">
        <x:v>11</x:v>
      </x:c>
      <x:c r="D322" s="99" t="str">
        <x:v>development</x:v>
      </x:c>
      <x:c r="E322" s="99" t="str">
        <x:v>/dɪˈveləpmənt/</x:v>
      </x:c>
      <x:c r="F322" s="99" t="str">
        <x:v>发展</x:v>
      </x:c>
      <x:c r="G322" s="99" t="str">
        <x:v>11. development /dɪˈveləpmənt/ 发展</x:v>
      </x:c>
    </x:row>
    <x:row r="323" ht="18" customHeight="1">
      <x:c r="A323" s="99" t="str">
        <x:v>D</x:v>
      </x:c>
      <x:c r="B323" s="99" t="str">
        <x:v>名词</x:v>
      </x:c>
      <x:c r="C323" s="99" t="n">
        <x:v>12</x:v>
      </x:c>
      <x:c r="D323" s="99" t="str">
        <x:v>difference</x:v>
      </x:c>
      <x:c r="E323" s="99" t="str">
        <x:v>/ˈdɪfrəns/</x:v>
      </x:c>
      <x:c r="F323" s="99" t="str">
        <x:v>差别；差异</x:v>
      </x:c>
      <x:c r="G323" s="99" t="str">
        <x:v>12. difference /ˈdɪfrəns/ 差别；差异</x:v>
      </x:c>
    </x:row>
    <x:row r="324" ht="18" customHeight="1">
      <x:c r="A324" s="99" t="str">
        <x:v>D</x:v>
      </x:c>
      <x:c r="B324" s="99" t="str">
        <x:v>名词</x:v>
      </x:c>
      <x:c r="C324" s="99" t="n">
        <x:v>13</x:v>
      </x:c>
      <x:c r="D324" s="99" t="str">
        <x:v>dinner</x:v>
      </x:c>
      <x:c r="E324" s="99" t="str">
        <x:v>/ˈdɪnə(r)/</x:v>
      </x:c>
      <x:c r="F324" s="99" t="str">
        <x:v>晚饭；正餐</x:v>
      </x:c>
      <x:c r="G324" s="99" t="str">
        <x:v>13. dinner /ˈdɪnə(r)/ 晚饭；正餐</x:v>
      </x:c>
    </x:row>
    <x:row r="325" ht="18" customHeight="1">
      <x:c r="A325" s="99" t="str">
        <x:v>D</x:v>
      </x:c>
      <x:c r="B325" s="99" t="str">
        <x:v>名词</x:v>
      </x:c>
      <x:c r="C325" s="99" t="n">
        <x:v>14</x:v>
      </x:c>
      <x:c r="D325" s="99" t="str">
        <x:v>director</x:v>
      </x:c>
      <x:c r="E325" s="99" t="str">
        <x:v>/dəˈrektə(r)/</x:v>
      </x:c>
      <x:c r="F325" s="99" t="str">
        <x:v>导演；主管；经理</x:v>
      </x:c>
      <x:c r="G325" s="99" t="str">
        <x:v>14. director /dəˈrektə(r)/ 导演；主管；经理</x:v>
      </x:c>
    </x:row>
    <x:row r="326" ht="18" customHeight="1">
      <x:c r="A326" s="99" t="str">
        <x:v>D</x:v>
      </x:c>
      <x:c r="B326" s="99" t="str">
        <x:v>名词</x:v>
      </x:c>
      <x:c r="C326" s="99" t="n">
        <x:v>15</x:v>
      </x:c>
      <x:c r="D326" s="99" t="str">
        <x:v>document</x:v>
      </x:c>
      <x:c r="E326" s="99" t="str">
        <x:v>/ˈdɒkjumənt/</x:v>
      </x:c>
      <x:c r="F326" s="99" t="str">
        <x:v>文件</x:v>
      </x:c>
      <x:c r="G326" s="99" t="str">
        <x:v>15. document /ˈdɒkjumənt/ 文件</x:v>
      </x:c>
    </x:row>
    <x:row r="327" ht="18" customHeight="1">
      <x:c r="A327" s="99" t="str">
        <x:v>D</x:v>
      </x:c>
      <x:c r="B327" s="99" t="str">
        <x:v>名词</x:v>
      </x:c>
      <x:c r="C327" s="99" t="n">
        <x:v>16</x:v>
      </x:c>
      <x:c r="D327" s="99" t="str">
        <x:v>dog</x:v>
      </x:c>
      <x:c r="E327" s="99" t="str">
        <x:v>/dɒɡ/</x:v>
      </x:c>
      <x:c r="F327" s="99" t="str">
        <x:v>狗</x:v>
      </x:c>
      <x:c r="G327" s="99" t="str">
        <x:v>16. dog /dɒɡ/ 狗</x:v>
      </x:c>
    </x:row>
    <x:row r="328" ht="18" customHeight="1">
      <x:c r="A328" s="99" t="str">
        <x:v>D</x:v>
      </x:c>
      <x:c r="B328" s="99" t="str">
        <x:v>名词</x:v>
      </x:c>
      <x:c r="C328" s="99" t="n">
        <x:v>17</x:v>
      </x:c>
      <x:c r="D328" s="99" t="str">
        <x:v>dollar</x:v>
      </x:c>
      <x:c r="E328" s="99" t="str">
        <x:v>/ˈdɒlə(r)/</x:v>
      </x:c>
      <x:c r="F328" s="99" t="str">
        <x:v>元（美国、加拿大、澳大利亚等国的货币单位）</x:v>
      </x:c>
      <x:c r="G328" s="99" t="str">
        <x:v>17. dollar /ˈdɒlə(r)/ 元（美国、加拿大、澳大利亚等国的货币单位）</x:v>
      </x:c>
    </x:row>
    <x:row r="329" ht="18" customHeight="1">
      <x:c r="A329" s="99" t="str">
        <x:v>D</x:v>
      </x:c>
      <x:c r="B329" s="99" t="str">
        <x:v>名词</x:v>
      </x:c>
      <x:c r="C329" s="99" t="n">
        <x:v>18</x:v>
      </x:c>
      <x:c r="D329" s="99" t="str">
        <x:v>door</x:v>
      </x:c>
      <x:c r="E329" s="99" t="str">
        <x:v>/dɔː(r)/</x:v>
      </x:c>
      <x:c r="F329" s="99" t="str">
        <x:v>门</x:v>
      </x:c>
      <x:c r="G329" s="99" t="str">
        <x:v>18. door /dɔː(r)/ 门</x:v>
      </x:c>
    </x:row>
    <x:row r="330" ht="18" customHeight="1">
      <x:c r="A330" s="99" t="str">
        <x:v>D</x:v>
      </x:c>
      <x:c r="B330" s="99" t="str">
        <x:v>名词</x:v>
      </x:c>
      <x:c r="C330" s="99" t="n">
        <x:v>19</x:v>
      </x:c>
      <x:c r="D330" s="99" t="str">
        <x:v>dragon</x:v>
      </x:c>
      <x:c r="E330" s="99" t="str">
        <x:v>/ˈdræɡən/</x:v>
      </x:c>
      <x:c r="F330" s="99" t="str">
        <x:v>龙</x:v>
      </x:c>
      <x:c r="G330" s="99" t="str">
        <x:v>19. dragon /ˈdræɡən/ 龙</x:v>
      </x:c>
    </x:row>
    <x:row r="331" ht="18" customHeight="1">
      <x:c r="A331" s="99" t="str">
        <x:v>D</x:v>
      </x:c>
      <x:c r="B331" s="99" t="str">
        <x:v>名词</x:v>
      </x:c>
      <x:c r="C331" s="99" t="n">
        <x:v>20</x:v>
      </x:c>
      <x:c r="D331" s="99" t="str">
        <x:v>dream</x:v>
      </x:c>
      <x:c r="E331" s="99" t="str">
        <x:v>/driːm/</x:v>
      </x:c>
      <x:c r="F331" s="99" t="str">
        <x:v>梦；梦想</x:v>
      </x:c>
      <x:c r="G331" s="99" t="str">
        <x:v>20. dream /driːm/ 梦；梦想</x:v>
      </x:c>
    </x:row>
    <x:row r="332" ht="18" customHeight="1">
      <x:c r="A332" s="99" t="str">
        <x:v>D</x:v>
      </x:c>
      <x:c r="B332" s="99" t="str">
        <x:v>名词</x:v>
      </x:c>
      <x:c r="C332" s="99" t="n">
        <x:v>21</x:v>
      </x:c>
      <x:c r="D332" s="99" t="str">
        <x:v>dress</x:v>
      </x:c>
      <x:c r="E332" s="99" t="str">
        <x:v>/dres/</x:v>
      </x:c>
      <x:c r="F332" s="99" t="str">
        <x:v>连衣裙；礼服</x:v>
      </x:c>
      <x:c r="G332" s="99" t="str">
        <x:v>21. dress /dres/ 连衣裙；礼服</x:v>
      </x:c>
    </x:row>
    <x:row r="333" ht="18" customHeight="1">
      <x:c r="A333" s="99" t="str">
        <x:v>D</x:v>
      </x:c>
      <x:c r="B333" s="99" t="str">
        <x:v>名词</x:v>
      </x:c>
      <x:c r="C333" s="99" t="n">
        <x:v>22</x:v>
      </x:c>
      <x:c r="D333" s="99" t="str">
        <x:v>drink</x:v>
      </x:c>
      <x:c r="E333" s="99" t="str">
        <x:v>/drɪŋk/</x:v>
      </x:c>
      <x:c r="F333" s="99" t="str">
        <x:v>饮料</x:v>
      </x:c>
      <x:c r="G333" s="99" t="str">
        <x:v>22. drink /drɪŋk/ 饮料</x:v>
      </x:c>
    </x:row>
    <x:row r="334" ht="18" customHeight="1">
      <x:c r="A334" s="99" t="str">
        <x:v>D</x:v>
      </x:c>
      <x:c r="B334" s="99" t="str">
        <x:v>名词</x:v>
      </x:c>
      <x:c r="C334" s="99" t="n">
        <x:v>23</x:v>
      </x:c>
      <x:c r="D334" s="99" t="str">
        <x:v>driver</x:v>
      </x:c>
      <x:c r="E334" s="99" t="str">
        <x:v>/ˈdraɪvə(r)/</x:v>
      </x:c>
      <x:c r="F334" s="99" t="str">
        <x:v>司机；驾驶员</x:v>
      </x:c>
      <x:c r="G334" s="99" t="str">
        <x:v>23. driver /ˈdraɪvə(r)/ 司机；驾驶员</x:v>
      </x:c>
    </x:row>
    <x:row r="335" ht="18" customHeight="1">
      <x:c r="A335" s="99" t="str">
        <x:v>D</x:v>
      </x:c>
      <x:c r="B335" s="99" t="str">
        <x:v>名词</x:v>
      </x:c>
      <x:c r="C335" s="99" t="n">
        <x:v>24</x:v>
      </x:c>
      <x:c r="D335" s="99" t="str">
        <x:v>drum</x:v>
      </x:c>
      <x:c r="E335" s="99" t="str">
        <x:v>/drʌm/</x:v>
      </x:c>
      <x:c r="F335" s="99" t="str">
        <x:v>鼓</x:v>
      </x:c>
      <x:c r="G335" s="99" t="str">
        <x:v>24. drum /drʌm/ 鼓</x:v>
      </x:c>
    </x:row>
    <x:row r="336" ht="18" customHeight="1">
      <x:c r="A336" s="99" t="str">
        <x:v>D</x:v>
      </x:c>
      <x:c r="B336" s="99" t="str">
        <x:v>名词</x:v>
      </x:c>
      <x:c r="C336" s="99" t="n">
        <x:v>25</x:v>
      </x:c>
      <x:c r="D336" s="99" t="str">
        <x:v>duck</x:v>
      </x:c>
      <x:c r="E336" s="99" t="str">
        <x:v>/dʌk/</x:v>
      </x:c>
      <x:c r="F336" s="99" t="str">
        <x:v>鸭</x:v>
      </x:c>
      <x:c r="G336" s="99" t="str">
        <x:v>25. duck /dʌk/ 鸭</x:v>
      </x:c>
    </x:row>
    <x:row r="337" ht="18" customHeight="1">
      <x:c r="A337" s="99" t="str">
        <x:v>D</x:v>
      </x:c>
      <x:c r="B337" s="99" t="str">
        <x:v>名词</x:v>
      </x:c>
      <x:c r="C337" s="99" t="n">
        <x:v>26</x:v>
      </x:c>
      <x:c r="D337" s="99" t="str">
        <x:v>dumpling</x:v>
      </x:c>
      <x:c r="E337" s="99" t="str">
        <x:v>/ˈdʌmplɪŋ/</x:v>
      </x:c>
      <x:c r="F337" s="99" t="str">
        <x:v>饺子；团子</x:v>
      </x:c>
      <x:c r="G337" s="99" t="str">
        <x:v>26. dumpling /ˈdʌmplɪŋ/ 饺子；团子</x:v>
      </x:c>
    </x:row>
    <x:row r="338" ht="18" customHeight="1">
      <x:c r="A338" s="99" t="str">
        <x:v>D</x:v>
      </x:c>
      <x:c r="B338" s="99" t="str">
        <x:v>动词</x:v>
      </x:c>
      <x:c r="C338" s="99" t="n">
        <x:v>1</x:v>
      </x:c>
      <x:c r="D338" s="99" t="str">
        <x:v>dance</x:v>
      </x:c>
      <x:c r="E338" s="99" t="str">
        <x:v>/dɑːns/</x:v>
      </x:c>
      <x:c r="F338" s="99" t="str">
        <x:v>跳舞</x:v>
      </x:c>
      <x:c r="G338" s="99" t="str">
        <x:v>1. dance /dɑːns/ 跳舞</x:v>
      </x:c>
    </x:row>
    <x:row r="339" ht="18" customHeight="1">
      <x:c r="A339" s="99" t="str">
        <x:v>D</x:v>
      </x:c>
      <x:c r="B339" s="99" t="str">
        <x:v>动词</x:v>
      </x:c>
      <x:c r="C339" s="99" t="n">
        <x:v>2</x:v>
      </x:c>
      <x:c r="D339" s="99" t="str">
        <x:v>decide</x:v>
      </x:c>
      <x:c r="E339" s="99" t="str">
        <x:v>/dɪˈsaɪd/</x:v>
      </x:c>
      <x:c r="F339" s="99" t="str">
        <x:v>决定</x:v>
      </x:c>
      <x:c r="G339" s="99" t="str">
        <x:v>2. decide /dɪˈsaɪd/ 决定</x:v>
      </x:c>
    </x:row>
    <x:row r="340" ht="18" customHeight="1">
      <x:c r="A340" s="99" t="str">
        <x:v>D</x:v>
      </x:c>
      <x:c r="B340" s="99" t="str">
        <x:v>动词</x:v>
      </x:c>
      <x:c r="C340" s="99" t="n">
        <x:v>3</x:v>
      </x:c>
      <x:c r="D340" s="99" t="str">
        <x:v>depend</x:v>
      </x:c>
      <x:c r="E340" s="99" t="str">
        <x:v>/dɪˈpend/</x:v>
      </x:c>
      <x:c r="F340" s="99" t="str">
        <x:v>视……而定；决定（于）</x:v>
      </x:c>
      <x:c r="G340" s="99" t="str">
        <x:v>3. depend /dɪˈpend/ 视……而定；决定（于）</x:v>
      </x:c>
    </x:row>
    <x:row r="341" ht="18" customHeight="1">
      <x:c r="A341" s="99" t="str">
        <x:v>D</x:v>
      </x:c>
      <x:c r="B341" s="99" t="str">
        <x:v>动词</x:v>
      </x:c>
      <x:c r="C341" s="99" t="n">
        <x:v>4</x:v>
      </x:c>
      <x:c r="D341" s="99" t="str">
        <x:v>describe</x:v>
      </x:c>
      <x:c r="E341" s="99" t="str">
        <x:v>/dɪˈskraɪb/</x:v>
      </x:c>
      <x:c r="F341" s="99" t="str">
        <x:v>描述；描写</x:v>
      </x:c>
      <x:c r="G341" s="99" t="str">
        <x:v>4. describe /dɪˈskraɪb/ 描述；描写</x:v>
      </x:c>
    </x:row>
    <x:row r="342" ht="18" customHeight="1">
      <x:c r="A342" s="99" t="str">
        <x:v>D</x:v>
      </x:c>
      <x:c r="B342" s="99" t="str">
        <x:v>动词</x:v>
      </x:c>
      <x:c r="C342" s="99" t="n">
        <x:v>5</x:v>
      </x:c>
      <x:c r="D342" s="99" t="str">
        <x:v>develop</x:v>
      </x:c>
      <x:c r="E342" s="99" t="str">
        <x:v>/dɪˈveləp/</x:v>
      </x:c>
      <x:c r="F342" s="99" t="str">
        <x:v>研制；制定；发展</x:v>
      </x:c>
      <x:c r="G342" s="99" t="str">
        <x:v>5. develop /dɪˈveləp/ 研制；制定；发展</x:v>
      </x:c>
    </x:row>
    <x:row r="343" ht="18" customHeight="1">
      <x:c r="A343" s="99" t="str">
        <x:v>D</x:v>
      </x:c>
      <x:c r="B343" s="99" t="str">
        <x:v>动词</x:v>
      </x:c>
      <x:c r="C343" s="99" t="n">
        <x:v>6</x:v>
      </x:c>
      <x:c r="D343" s="99" t="str">
        <x:v>die</x:v>
      </x:c>
      <x:c r="E343" s="99" t="str">
        <x:v>/daɪ/</x:v>
      </x:c>
      <x:c r="F343" s="99" t="str">
        <x:v>死；去世</x:v>
      </x:c>
      <x:c r="G343" s="99" t="str">
        <x:v>6. die /daɪ/ 死；去世</x:v>
      </x:c>
    </x:row>
    <x:row r="344" ht="18" customHeight="1">
      <x:c r="A344" s="99" t="str">
        <x:v>D</x:v>
      </x:c>
      <x:c r="B344" s="99" t="str">
        <x:v>动词</x:v>
      </x:c>
      <x:c r="C344" s="99" t="n">
        <x:v>7</x:v>
      </x:c>
      <x:c r="D344" s="99" t="str">
        <x:v>dig</x:v>
      </x:c>
      <x:c r="E344" s="99" t="str">
        <x:v>/dɪɡ/</x:v>
      </x:c>
      <x:c r="F344" s="99" t="str">
        <x:v>挖；掘</x:v>
      </x:c>
      <x:c r="G344" s="99" t="str">
        <x:v>7. dig /dɪɡ/ 挖；掘</x:v>
      </x:c>
    </x:row>
    <x:row r="345" ht="18" customHeight="1">
      <x:c r="A345" s="99" t="str">
        <x:v>D</x:v>
      </x:c>
      <x:c r="B345" s="99" t="str">
        <x:v>动词</x:v>
      </x:c>
      <x:c r="C345" s="99" t="n">
        <x:v>8</x:v>
      </x:c>
      <x:c r="D345" s="99" t="str">
        <x:v>discover</x:v>
      </x:c>
      <x:c r="E345" s="99" t="str">
        <x:v>/dɪˈskʌvə(r)/</x:v>
      </x:c>
      <x:c r="F345" s="99" t="str">
        <x:v>发现；找到</x:v>
      </x:c>
      <x:c r="G345" s="99" t="str">
        <x:v>8. discover /dɪˈskʌvə(r)/ 发现；找到</x:v>
      </x:c>
    </x:row>
    <x:row r="346" ht="18" customHeight="1">
      <x:c r="A346" s="99" t="str">
        <x:v>D</x:v>
      </x:c>
      <x:c r="B346" s="99" t="str">
        <x:v>动词</x:v>
      </x:c>
      <x:c r="C346" s="99" t="n">
        <x:v>9</x:v>
      </x:c>
      <x:c r="D346" s="99" t="str">
        <x:v>do</x:v>
      </x:c>
      <x:c r="E346" s="99" t="str">
        <x:v>/duː/</x:v>
      </x:c>
      <x:c r="F346" s="99" t="str">
        <x:v>做；干</x:v>
      </x:c>
      <x:c r="G346" s="99" t="str">
        <x:v>9. do /duː/ 做；干</x:v>
      </x:c>
    </x:row>
    <x:row r="347" ht="18" customHeight="1">
      <x:c r="A347" s="99" t="str">
        <x:v>D</x:v>
      </x:c>
      <x:c r="B347" s="99" t="str">
        <x:v>动词</x:v>
      </x:c>
      <x:c r="C347" s="99" t="n">
        <x:v>10</x:v>
      </x:c>
      <x:c r="D347" s="99" t="str">
        <x:v>draw</x:v>
      </x:c>
      <x:c r="E347" s="99" t="str">
        <x:v>/drɔː/</x:v>
      </x:c>
      <x:c r="F347" s="99" t="str">
        <x:v>绘画；画</x:v>
      </x:c>
      <x:c r="G347" s="99" t="str">
        <x:v>10. draw /drɔː/ 绘画；画</x:v>
      </x:c>
    </x:row>
    <x:row r="348" ht="18" customHeight="1">
      <x:c r="A348" s="99" t="str">
        <x:v>D</x:v>
      </x:c>
      <x:c r="B348" s="99" t="str">
        <x:v>动词</x:v>
      </x:c>
      <x:c r="C348" s="99" t="n">
        <x:v>11</x:v>
      </x:c>
      <x:c r="D348" s="99" t="str">
        <x:v>dream</x:v>
      </x:c>
      <x:c r="E348" s="99" t="str">
        <x:v>/driːm/</x:v>
      </x:c>
      <x:c r="F348" s="99" t="str">
        <x:v>(dreamed/dreamt) 做梦；梦到；梦想</x:v>
      </x:c>
      <x:c r="G348" s="99" t="str">
        <x:v>11. dream /driːm/ (dreamed/dreamt) 做梦；梦到；梦想</x:v>
      </x:c>
    </x:row>
    <x:row r="349" ht="18" customHeight="1">
      <x:c r="A349" s="99" t="str">
        <x:v>D</x:v>
      </x:c>
      <x:c r="B349" s="99" t="str">
        <x:v>动词</x:v>
      </x:c>
      <x:c r="C349" s="99" t="n">
        <x:v>12</x:v>
      </x:c>
      <x:c r="D349" s="99" t="str">
        <x:v>drink</x:v>
      </x:c>
      <x:c r="E349" s="99" t="str">
        <x:v>/drɪŋk/</x:v>
      </x:c>
      <x:c r="F349" s="99" t="str">
        <x:v>喝；饮</x:v>
      </x:c>
      <x:c r="G349" s="99" t="str">
        <x:v>12. drink /drɪŋk/ 喝；饮</x:v>
      </x:c>
    </x:row>
    <x:row r="350" ht="18" customHeight="1">
      <x:c r="A350" s="99" t="str">
        <x:v>D</x:v>
      </x:c>
      <x:c r="B350" s="99" t="str">
        <x:v>动词</x:v>
      </x:c>
      <x:c r="C350" s="99" t="n">
        <x:v>13</x:v>
      </x:c>
      <x:c r="D350" s="99" t="str">
        <x:v>drive</x:v>
      </x:c>
      <x:c r="E350" s="99" t="str">
        <x:v>/draɪv/</x:v>
      </x:c>
      <x:c r="F350" s="99" t="str">
        <x:v>驾驶；驾车</x:v>
      </x:c>
      <x:c r="G350" s="99" t="str">
        <x:v>13. drive /draɪv/ 驾驶；驾车</x:v>
      </x:c>
    </x:row>
    <x:row r="351" ht="18" customHeight="1">
      <x:c r="A351" s="99" t="str">
        <x:v>D</x:v>
      </x:c>
      <x:c r="B351" s="99" t="str">
        <x:v>动词</x:v>
      </x:c>
      <x:c r="C351" s="99" t="n">
        <x:v>14</x:v>
      </x:c>
      <x:c r="D351" s="99" t="str">
        <x:v>drop</x:v>
      </x:c>
      <x:c r="E351" s="99" t="str">
        <x:v>/drɒp/</x:v>
      </x:c>
      <x:c r="F351" s="99" t="str">
        <x:v>使落下；投下</x:v>
      </x:c>
      <x:c r="G351" s="99" t="str">
        <x:v>14. drop /drɒp/ 使落下；投下</x:v>
      </x:c>
    </x:row>
    <x:row r="352" ht="18" customHeight="1">
      <x:c r="A352" s="99" t="str">
        <x:v>D</x:v>
      </x:c>
      <x:c r="B352" s="99" t="str">
        <x:v>形容词</x:v>
      </x:c>
      <x:c r="C352" s="99" t="n">
        <x:v>1</x:v>
      </x:c>
      <x:c r="D352" s="99" t="str">
        <x:v>daily</x:v>
      </x:c>
      <x:c r="E352" s="99" t="str">
        <x:v>/ˈdeɪli/</x:v>
      </x:c>
      <x:c r="F352" s="99" t="str">
        <x:v>每天的；天天的</x:v>
      </x:c>
      <x:c r="G352" s="99" t="str">
        <x:v>1. daily /ˈdeɪli/ 每天的；天天的</x:v>
      </x:c>
    </x:row>
    <x:row r="353" ht="18" customHeight="1">
      <x:c r="A353" s="99" t="str">
        <x:v>D</x:v>
      </x:c>
      <x:c r="B353" s="99" t="str">
        <x:v>形容词</x:v>
      </x:c>
      <x:c r="C353" s="99" t="n">
        <x:v>2</x:v>
      </x:c>
      <x:c r="D353" s="99" t="str">
        <x:v>dark</x:v>
      </x:c>
      <x:c r="E353" s="99" t="str">
        <x:v>/dɑːk/</x:v>
      </x:c>
      <x:c r="F353" s="99" t="str">
        <x:v>黑暗的</x:v>
      </x:c>
      <x:c r="G353" s="99" t="str">
        <x:v>2. dark /dɑːk/ 黑暗的</x:v>
      </x:c>
    </x:row>
    <x:row r="354" ht="18" customHeight="1">
      <x:c r="A354" s="99" t="str">
        <x:v>D</x:v>
      </x:c>
      <x:c r="B354" s="99" t="str">
        <x:v>形容词</x:v>
      </x:c>
      <x:c r="C354" s="99" t="n">
        <x:v>3</x:v>
      </x:c>
      <x:c r="D354" s="99" t="str">
        <x:v>dead</x:v>
      </x:c>
      <x:c r="E354" s="99" t="str">
        <x:v>/ded/</x:v>
      </x:c>
      <x:c r="F354" s="99" t="str">
        <x:v>死的</x:v>
      </x:c>
      <x:c r="G354" s="99" t="str">
        <x:v>3. dead /ded/ 死的</x:v>
      </x:c>
    </x:row>
    <x:row r="355" ht="18" customHeight="1">
      <x:c r="A355" s="99" t="str">
        <x:v>D</x:v>
      </x:c>
      <x:c r="B355" s="99" t="str">
        <x:v>形容词</x:v>
      </x:c>
      <x:c r="C355" s="99" t="n">
        <x:v>4</x:v>
      </x:c>
      <x:c r="D355" s="99" t="str">
        <x:v>delicious</x:v>
      </x:c>
      <x:c r="E355" s="99" t="str">
        <x:v>/dɪˈlɪʃəs/</x:v>
      </x:c>
      <x:c r="F355" s="99" t="str">
        <x:v>美味的</x:v>
      </x:c>
      <x:c r="G355" s="99" t="str">
        <x:v>4. delicious /dɪˈlɪʃəs/ 美味的</x:v>
      </x:c>
    </x:row>
    <x:row r="356" ht="18" customHeight="1">
      <x:c r="A356" s="99" t="str">
        <x:v>D</x:v>
      </x:c>
      <x:c r="B356" s="99" t="str">
        <x:v>形容词</x:v>
      </x:c>
      <x:c r="C356" s="99" t="n">
        <x:v>5</x:v>
      </x:c>
      <x:c r="D356" s="99" t="str">
        <x:v>different</x:v>
      </x:c>
      <x:c r="E356" s="99" t="str">
        <x:v>/ˈdɪfrənt/</x:v>
      </x:c>
      <x:c r="F356" s="99" t="str">
        <x:v>不同的</x:v>
      </x:c>
      <x:c r="G356" s="99" t="str">
        <x:v>5. different /ˈdɪfrənt/ 不同的</x:v>
      </x:c>
    </x:row>
    <x:row r="357" ht="18" customHeight="1">
      <x:c r="A357" s="99" t="str">
        <x:v>D</x:v>
      </x:c>
      <x:c r="B357" s="99" t="str">
        <x:v>形容词</x:v>
      </x:c>
      <x:c r="C357" s="99" t="n">
        <x:v>6</x:v>
      </x:c>
      <x:c r="D357" s="99" t="str">
        <x:v>difficult</x:v>
      </x:c>
      <x:c r="E357" s="99" t="str">
        <x:v>/ˈdɪfɪkəlt/</x:v>
      </x:c>
      <x:c r="F357" s="99" t="str">
        <x:v>困难的；难懂的；难对付的</x:v>
      </x:c>
      <x:c r="G357" s="99" t="str">
        <x:v>6. difficult /ˈdɪfɪkəlt/ 困难的；难懂的；难对付的</x:v>
      </x:c>
    </x:row>
    <x:row r="358" ht="18" customHeight="1">
      <x:c r="A358" s="99" t="str">
        <x:v>D</x:v>
      </x:c>
      <x:c r="B358" s="99" t="str">
        <x:v>形容词</x:v>
      </x:c>
      <x:c r="C358" s="99" t="n">
        <x:v>7</x:v>
      </x:c>
      <x:c r="D358" s="99" t="str">
        <x:v>direct</x:v>
      </x:c>
      <x:c r="E358" s="99" t="str">
        <x:v>/dəˈrekt/</x:v>
      </x:c>
      <x:c r="F358" s="99" t="str">
        <x:v>直接的</x:v>
      </x:c>
      <x:c r="G358" s="99" t="str">
        <x:v>7. direct /dəˈrekt/ 直接的</x:v>
      </x:c>
    </x:row>
    <x:row r="359" ht="18" customHeight="1">
      <x:c r="A359" s="99" t="str">
        <x:v>D</x:v>
      </x:c>
      <x:c r="B359" s="99" t="str">
        <x:v>形容词</x:v>
      </x:c>
      <x:c r="C359" s="99" t="n">
        <x:v>8</x:v>
      </x:c>
      <x:c r="D359" s="99" t="str">
        <x:v>dirty</x:v>
      </x:c>
      <x:c r="E359" s="99" t="str">
        <x:v>/ˈdɜːti/</x:v>
      </x:c>
      <x:c r="F359" s="99" t="str">
        <x:v>脏的</x:v>
      </x:c>
      <x:c r="G359" s="99" t="str">
        <x:v>8. dirty /ˈdɜːti/ 脏的</x:v>
      </x:c>
    </x:row>
    <x:row r="360" ht="18" customHeight="1">
      <x:c r="A360" s="99" t="str">
        <x:v>D</x:v>
      </x:c>
      <x:c r="B360" s="99" t="str">
        <x:v>形容词</x:v>
      </x:c>
      <x:c r="C360" s="99" t="n">
        <x:v>9</x:v>
      </x:c>
      <x:c r="D360" s="99" t="str">
        <x:v>double</x:v>
      </x:c>
      <x:c r="E360" s="99" t="str">
        <x:v>/ˈdʌbl/</x:v>
      </x:c>
      <x:c r="F360" s="99" t="str">
        <x:v>双倍的</x:v>
      </x:c>
      <x:c r="G360" s="99" t="str">
        <x:v>9. double /ˈdʌbl/ 双倍的</x:v>
      </x:c>
    </x:row>
    <x:row r="361" ht="18" customHeight="1">
      <x:c r="A361" s="99" t="str">
        <x:v>D</x:v>
      </x:c>
      <x:c r="B361" s="99" t="str">
        <x:v>形容词</x:v>
      </x:c>
      <x:c r="C361" s="99" t="n">
        <x:v>10</x:v>
      </x:c>
      <x:c r="D361" s="99" t="str">
        <x:v>dry</x:v>
      </x:c>
      <x:c r="E361" s="99" t="str">
        <x:v>/draɪ/</x:v>
      </x:c>
      <x:c r="F361" s="99" t="str">
        <x:v>干的；干燥的</x:v>
      </x:c>
      <x:c r="G361" s="99" t="str">
        <x:v>10. dry /draɪ/ 干的；干燥的</x:v>
      </x:c>
    </x:row>
    <x:row r="362" ht="18" customHeight="1">
      <x:c r="A362" s="99" t="str">
        <x:v>D</x:v>
      </x:c>
      <x:c r="B362" s="99" t="str">
        <x:v>形容词</x:v>
      </x:c>
      <x:c r="C362" s="99" t="n">
        <x:v>11</x:v>
      </x:c>
      <x:c r="D362" s="99" t="str">
        <x:v>dangerous</x:v>
      </x:c>
      <x:c r="E362" s="99" t="str">
        <x:v>/ˈdeɪndʒərəs/</x:v>
      </x:c>
      <x:c r="F362" s="99" t="str">
        <x:v>危险的</x:v>
      </x:c>
      <x:c r="G362" s="99" t="str">
        <x:v>11. dangerous /ˈdeɪndʒərəs/ 危险的</x:v>
      </x:c>
    </x:row>
    <x:row r="363" ht="18" customHeight="1">
      <x:c r="A363" s="99" t="str">
        <x:v>D</x:v>
      </x:c>
      <x:c r="B363" s="99" t="str">
        <x:v>副词</x:v>
      </x:c>
      <x:c r="C363" s="99" t="n">
        <x:v>1</x:v>
      </x:c>
      <x:c r="D363" s="99" t="str">
        <x:v>daily</x:v>
      </x:c>
      <x:c r="E363" s="99" t="str">
        <x:v>/ˈdeɪli/</x:v>
      </x:c>
      <x:c r="F363" s="99" t="str">
        <x:v>日常地</x:v>
      </x:c>
      <x:c r="G363" s="99" t="str">
        <x:v>1. daily /ˈdeɪli/ 日常地</x:v>
      </x:c>
    </x:row>
    <x:row r="364" ht="18" customHeight="1">
      <x:c r="A364" s="99" t="str">
        <x:v>D</x:v>
      </x:c>
      <x:c r="B364" s="99" t="str">
        <x:v>副词</x:v>
      </x:c>
      <x:c r="C364" s="99" t="n">
        <x:v>2</x:v>
      </x:c>
      <x:c r="D364" s="99" t="str">
        <x:v>down</x:v>
      </x:c>
      <x:c r="E364" s="99" t="str">
        <x:v>/daʊn/</x:v>
      </x:c>
      <x:c r="F364" s="99" t="str">
        <x:v>向下；朝下</x:v>
      </x:c>
      <x:c r="G364" s="99" t="str">
        <x:v>2. down /daʊn/ 向下；朝下</x:v>
      </x:c>
    </x:row>
    <x:row r="365" ht="18" customHeight="1">
      <x:c r="A365" s="99" t="str">
        <x:v>D</x:v>
      </x:c>
      <x:c r="B365" s="99" t="str">
        <x:v>介词</x:v>
      </x:c>
      <x:c r="C365" s="99" t="n">
        <x:v>1</x:v>
      </x:c>
      <x:c r="D365" s="99" t="str">
        <x:v>during</x:v>
      </x:c>
      <x:c r="E365" s="99" t="str">
        <x:v>/ˈdjʊərɪŋ/</x:v>
      </x:c>
      <x:c r="F365" s="99" t="str">
        <x:v>在……期间</x:v>
      </x:c>
      <x:c r="G365" s="99" t="str">
        <x:v>1. during /ˈdjʊərɪŋ/ 在……期间</x:v>
      </x:c>
    </x:row>
    <x:row r="366" ht="18" customHeight="1">
      <x:c r="A366" s="99" t="str">
        <x:v>D</x:v>
      </x:c>
      <x:c r="B366" s="99" t="str">
        <x:v>介词</x:v>
      </x:c>
      <x:c r="C366" s="99" t="n">
        <x:v>2</x:v>
      </x:c>
      <x:c r="D366" s="99" t="str">
        <x:v>down</x:v>
      </x:c>
      <x:c r="E366" s="99" t="str">
        <x:v>/daʊn/</x:v>
      </x:c>
      <x:c r="F366" s="99" t="str">
        <x:v>沿着；顺着</x:v>
      </x:c>
      <x:c r="G366" s="99" t="str">
        <x:v>2. down /daʊn/ 沿着；顺着</x:v>
      </x:c>
    </x:row>
    <x:row r="367" ht="18" customHeight="1">
      <x:c r="A367" s="99" t="str">
        <x:v>D</x:v>
      </x:c>
      <x:c r="B367" s="99" t="str">
        <x:v>短语</x:v>
      </x:c>
      <x:c r="C367" s="99" t="n">
        <x:v>1</x:v>
      </x:c>
      <x:c r="D367" s="99" t="str">
        <x:v>day</x:v>
      </x:c>
      <x:c r="E367" s="99" t="str"/>
      <x:c r="F367" s="99" t="str">
        <x:v>by day 一天天地；渐渐地</x:v>
      </x:c>
      <x:c r="G367" s="99" t="str">
        <x:v>1. day by day 一天天地；渐渐地</x:v>
      </x:c>
    </x:row>
    <x:row r="368" ht="18" customHeight="1">
      <x:c r="A368" s="99" t="str">
        <x:v>D</x:v>
      </x:c>
      <x:c r="B368" s="99" t="str">
        <x:v>短语</x:v>
      </x:c>
      <x:c r="C368" s="99" t="n">
        <x:v>2</x:v>
      </x:c>
      <x:c r="D368" s="99" t="str">
        <x:v>depend</x:v>
      </x:c>
      <x:c r="E368" s="99" t="str"/>
      <x:c r="F368" s="99" t="str">
        <x:v>on 取决于；决定于</x:v>
      </x:c>
      <x:c r="G368" s="99" t="str">
        <x:v>2. depend on 取决于；决定于</x:v>
      </x:c>
    </x:row>
    <x:row r="369" ht="18" customHeight="1">
      <x:c r="A369" s="99" t="str">
        <x:v>D</x:v>
      </x:c>
      <x:c r="B369" s="99" t="str">
        <x:v>短语</x:v>
      </x:c>
      <x:c r="C369" s="99" t="n">
        <x:v>3</x:v>
      </x:c>
      <x:c r="D369" s="99" t="str">
        <x:v>have</x:v>
      </x:c>
      <x:c r="E369" s="99" t="str"/>
      <x:c r="F369" s="99" t="str">
        <x:v>dinner 吃晚饭；吃正餐</x:v>
      </x:c>
      <x:c r="G369" s="99" t="str">
        <x:v>3. have dinner 吃晚饭；吃正餐</x:v>
      </x:c>
    </x:row>
    <x:row r="370" ht="18" customHeight="1">
      <x:c r="A370" s="99" t="str">
        <x:v>D</x:v>
      </x:c>
      <x:c r="B370" s="99" t="str">
        <x:v>短语</x:v>
      </x:c>
      <x:c r="C370" s="99" t="n">
        <x:v>4</x:v>
      </x:c>
      <x:c r="D370" s="99" t="str">
        <x:v>in</x:v>
      </x:c>
      <x:c r="E370" s="99" t="str"/>
      <x:c r="F370" s="99" t="str">
        <x:v>danger 处于危险中</x:v>
      </x:c>
      <x:c r="G370" s="99" t="str">
        <x:v>4. in danger 处于危险中</x:v>
      </x:c>
    </x:row>
    <x:row r="371" ht="18" customHeight="1">
      <x:c r="A371" s="99" t="str">
        <x:v>E</x:v>
      </x:c>
      <x:c r="B371" s="99" t="str">
        <x:v>名词</x:v>
      </x:c>
      <x:c r="C371" s="99" t="n">
        <x:v>1</x:v>
      </x:c>
      <x:c r="D371" s="99" t="str">
        <x:v>ear</x:v>
      </x:c>
      <x:c r="E371" s="99" t="str">
        <x:v>/ɪə(r)/</x:v>
      </x:c>
      <x:c r="F371" s="99" t="str">
        <x:v>耳朵</x:v>
      </x:c>
      <x:c r="G371" s="99" t="str">
        <x:v>1. ear /ɪə(r)/ 耳朵</x:v>
      </x:c>
    </x:row>
    <x:row r="372" ht="18" customHeight="1">
      <x:c r="A372" s="99" t="str">
        <x:v>E</x:v>
      </x:c>
      <x:c r="B372" s="99" t="str">
        <x:v>名词</x:v>
      </x:c>
      <x:c r="C372" s="99" t="n">
        <x:v>2</x:v>
      </x:c>
      <x:c r="D372" s="99" t="str">
        <x:v>earth</x:v>
      </x:c>
      <x:c r="E372" s="99" t="str">
        <x:v>/ɜːθ/</x:v>
      </x:c>
      <x:c r="F372" s="99" t="str">
        <x:v>地球</x:v>
      </x:c>
      <x:c r="G372" s="99" t="str">
        <x:v>2. earth /ɜːθ/ 地球</x:v>
      </x:c>
    </x:row>
    <x:row r="373" ht="18" customHeight="1">
      <x:c r="A373" s="99" t="str">
        <x:v>E</x:v>
      </x:c>
      <x:c r="B373" s="99" t="str">
        <x:v>名词</x:v>
      </x:c>
      <x:c r="C373" s="99" t="n">
        <x:v>3</x:v>
      </x:c>
      <x:c r="D373" s="99" t="str">
        <x:v>east</x:v>
      </x:c>
      <x:c r="E373" s="99" t="str">
        <x:v>/iːst/</x:v>
      </x:c>
      <x:c r="F373" s="99" t="str">
        <x:v>东方</x:v>
      </x:c>
      <x:c r="G373" s="99" t="str">
        <x:v>3. east /iːst/ 东方</x:v>
      </x:c>
    </x:row>
    <x:row r="374" ht="18" customHeight="1">
      <x:c r="A374" s="99" t="str">
        <x:v>E</x:v>
      </x:c>
      <x:c r="B374" s="99" t="str">
        <x:v>名词</x:v>
      </x:c>
      <x:c r="C374" s="99" t="n">
        <x:v>4</x:v>
      </x:c>
      <x:c r="D374" s="99" t="str">
        <x:v>egg</x:v>
      </x:c>
      <x:c r="E374" s="99" t="str">
        <x:v>/eɡ/</x:v>
      </x:c>
      <x:c r="F374" s="99" t="str">
        <x:v>蛋；鸡蛋</x:v>
      </x:c>
      <x:c r="G374" s="99" t="str">
        <x:v>4. egg /eɡ/ 蛋；鸡蛋</x:v>
      </x:c>
    </x:row>
    <x:row r="375" ht="18" customHeight="1">
      <x:c r="A375" s="99" t="str">
        <x:v>E</x:v>
      </x:c>
      <x:c r="B375" s="99" t="str">
        <x:v>名词</x:v>
      </x:c>
      <x:c r="C375" s="99" t="n">
        <x:v>5</x:v>
      </x:c>
      <x:c r="D375" s="99" t="str">
        <x:v>elephant</x:v>
      </x:c>
      <x:c r="E375" s="99" t="str">
        <x:v>/ˈelɪfənt/</x:v>
      </x:c>
      <x:c r="F375" s="99" t="str">
        <x:v>大象</x:v>
      </x:c>
      <x:c r="G375" s="99" t="str">
        <x:v>5. elephant /ˈelɪfənt/ 大象</x:v>
      </x:c>
    </x:row>
    <x:row r="376" ht="18" customHeight="1">
      <x:c r="A376" s="99" t="str">
        <x:v>E</x:v>
      </x:c>
      <x:c r="B376" s="99" t="str">
        <x:v>名词</x:v>
      </x:c>
      <x:c r="C376" s="99" t="n">
        <x:v>6</x:v>
      </x:c>
      <x:c r="D376" s="99" t="str">
        <x:v>email</x:v>
      </x:c>
      <x:c r="E376" s="99" t="str">
        <x:v>/ˈiːmeɪl/</x:v>
      </x:c>
      <x:c r="F376" s="99" t="str">
        <x:v>电子邮件</x:v>
      </x:c>
      <x:c r="G376" s="99" t="str">
        <x:v>6. email /ˈiːmeɪl/ 电子邮件</x:v>
      </x:c>
    </x:row>
    <x:row r="377" ht="18" customHeight="1">
      <x:c r="A377" s="99" t="str">
        <x:v>E</x:v>
      </x:c>
      <x:c r="B377" s="99" t="str">
        <x:v>名词</x:v>
      </x:c>
      <x:c r="C377" s="99" t="n">
        <x:v>7</x:v>
      </x:c>
      <x:c r="D377" s="99" t="str">
        <x:v>end</x:v>
      </x:c>
      <x:c r="E377" s="99" t="str">
        <x:v>/end/</x:v>
      </x:c>
      <x:c r="F377" s="99" t="str">
        <x:v>（时间的）最后一段；末尾；结束</x:v>
      </x:c>
      <x:c r="G377" s="99" t="str">
        <x:v>7. end /end/ （时间的）最后一段；末尾；结束</x:v>
      </x:c>
    </x:row>
    <x:row r="378" ht="18" customHeight="1">
      <x:c r="A378" s="99" t="str">
        <x:v>E</x:v>
      </x:c>
      <x:c r="B378" s="99" t="str">
        <x:v>名词</x:v>
      </x:c>
      <x:c r="C378" s="99" t="n">
        <x:v>8</x:v>
      </x:c>
      <x:c r="D378" s="99" t="str">
        <x:v>England</x:v>
      </x:c>
      <x:c r="E378" s="99" t="str">
        <x:v>/ˈɪŋɡlənd/</x:v>
      </x:c>
      <x:c r="F378" s="99" t="str">
        <x:v>英格兰</x:v>
      </x:c>
      <x:c r="G378" s="99" t="str">
        <x:v>8. England /ˈɪŋɡlənd/ 英格兰</x:v>
      </x:c>
    </x:row>
    <x:row r="379" ht="18" customHeight="1">
      <x:c r="A379" s="99" t="str">
        <x:v>E</x:v>
      </x:c>
      <x:c r="B379" s="99" t="str">
        <x:v>名词</x:v>
      </x:c>
      <x:c r="C379" s="99" t="n">
        <x:v>9</x:v>
      </x:c>
      <x:c r="D379" s="99" t="str">
        <x:v>English</x:v>
      </x:c>
      <x:c r="E379" s="99" t="str">
        <x:v>/ˈɪŋɡlɪʃ/</x:v>
      </x:c>
      <x:c r="F379" s="99" t="str">
        <x:v>英语</x:v>
      </x:c>
      <x:c r="G379" s="99" t="str">
        <x:v>9. English /ˈɪŋɡlɪʃ/ 英语</x:v>
      </x:c>
    </x:row>
    <x:row r="380" ht="18" customHeight="1">
      <x:c r="A380" s="99" t="str">
        <x:v>E</x:v>
      </x:c>
      <x:c r="B380" s="99" t="str">
        <x:v>名词</x:v>
      </x:c>
      <x:c r="C380" s="99" t="n">
        <x:v>10</x:v>
      </x:c>
      <x:c r="D380" s="99" t="str">
        <x:v>environment</x:v>
      </x:c>
      <x:c r="E380" s="99" t="str">
        <x:v>/ɪnˈvaɪrənmənt/</x:v>
      </x:c>
      <x:c r="F380" s="99" t="str">
        <x:v>环境</x:v>
      </x:c>
      <x:c r="G380" s="99" t="str">
        <x:v>10. environment /ɪnˈvaɪrənmənt/ 环境</x:v>
      </x:c>
    </x:row>
    <x:row r="381" ht="18" customHeight="1">
      <x:c r="A381" s="99" t="str">
        <x:v>E</x:v>
      </x:c>
      <x:c r="B381" s="99" t="str">
        <x:v>名词</x:v>
      </x:c>
      <x:c r="C381" s="99" t="n">
        <x:v>11</x:v>
      </x:c>
      <x:c r="D381" s="99" t="str">
        <x:v>error</x:v>
      </x:c>
      <x:c r="E381" s="99" t="str">
        <x:v>/ˈerə(r)/</x:v>
      </x:c>
      <x:c r="F381" s="99" t="str">
        <x:v>错误</x:v>
      </x:c>
      <x:c r="G381" s="99" t="str">
        <x:v>11. error /ˈerə(r)/ 错误</x:v>
      </x:c>
    </x:row>
    <x:row r="382" ht="18" customHeight="1">
      <x:c r="A382" s="99" t="str">
        <x:v>E</x:v>
      </x:c>
      <x:c r="B382" s="99" t="str">
        <x:v>名词</x:v>
      </x:c>
      <x:c r="C382" s="99" t="n">
        <x:v>12</x:v>
      </x:c>
      <x:c r="D382" s="99" t="str">
        <x:v>Europe</x:v>
      </x:c>
      <x:c r="E382" s="99" t="str">
        <x:v>/ˈjʊərəp/</x:v>
      </x:c>
      <x:c r="F382" s="99" t="str">
        <x:v>欧洲</x:v>
      </x:c>
      <x:c r="G382" s="99" t="str">
        <x:v>12. Europe /ˈjʊərəp/ 欧洲</x:v>
      </x:c>
    </x:row>
    <x:row r="383" ht="18" customHeight="1">
      <x:c r="A383" s="99" t="str">
        <x:v>E</x:v>
      </x:c>
      <x:c r="B383" s="99" t="str">
        <x:v>名词</x:v>
      </x:c>
      <x:c r="C383" s="99" t="n">
        <x:v>13</x:v>
      </x:c>
      <x:c r="D383" s="99" t="str">
        <x:v>evening</x:v>
      </x:c>
      <x:c r="E383" s="99" t="str">
        <x:v>/ˈiːvnɪŋ/</x:v>
      </x:c>
      <x:c r="F383" s="99" t="str">
        <x:v>晚上</x:v>
      </x:c>
      <x:c r="G383" s="99" t="str">
        <x:v>13. evening /ˈiːvnɪŋ/ 晚上</x:v>
      </x:c>
    </x:row>
    <x:row r="384" ht="18" customHeight="1">
      <x:c r="A384" s="99" t="str">
        <x:v>E</x:v>
      </x:c>
      <x:c r="B384" s="99" t="str">
        <x:v>名词</x:v>
      </x:c>
      <x:c r="C384" s="99" t="n">
        <x:v>14</x:v>
      </x:c>
      <x:c r="D384" s="99" t="str">
        <x:v>event</x:v>
      </x:c>
      <x:c r="E384" s="99" t="str">
        <x:v>/ɪˈvent/</x:v>
      </x:c>
      <x:c r="F384" s="99" t="str">
        <x:v>事件</x:v>
      </x:c>
      <x:c r="G384" s="99" t="str">
        <x:v>14. event /ɪˈvent/ 事件</x:v>
      </x:c>
    </x:row>
    <x:row r="385" ht="18" customHeight="1">
      <x:c r="A385" s="99" t="str">
        <x:v>E</x:v>
      </x:c>
      <x:c r="B385" s="99" t="str">
        <x:v>名词</x:v>
      </x:c>
      <x:c r="C385" s="99" t="n">
        <x:v>15</x:v>
      </x:c>
      <x:c r="D385" s="99" t="str">
        <x:v>experience</x:v>
      </x:c>
      <x:c r="E385" s="99" t="str">
        <x:v>/ɪkˈspɪəriəns/</x:v>
      </x:c>
      <x:c r="F385" s="99" t="str">
        <x:v>经历；经验</x:v>
      </x:c>
      <x:c r="G385" s="99" t="str">
        <x:v>15. experience /ɪkˈspɪəriəns/ 经历；经验</x:v>
      </x:c>
    </x:row>
    <x:row r="386" ht="18" customHeight="1">
      <x:c r="A386" s="99" t="str">
        <x:v>E</x:v>
      </x:c>
      <x:c r="B386" s="99" t="str">
        <x:v>名词</x:v>
      </x:c>
      <x:c r="C386" s="99" t="n">
        <x:v>16</x:v>
      </x:c>
      <x:c r="D386" s="99" t="str">
        <x:v>eye</x:v>
      </x:c>
      <x:c r="E386" s="99" t="str">
        <x:v>/aɪ/</x:v>
      </x:c>
      <x:c r="F386" s="99" t="str">
        <x:v>眼睛</x:v>
      </x:c>
      <x:c r="G386" s="99" t="str">
        <x:v>16. eye /aɪ/ 眼睛</x:v>
      </x:c>
    </x:row>
    <x:row r="387" ht="18" customHeight="1">
      <x:c r="A387" s="99" t="str">
        <x:v>E</x:v>
      </x:c>
      <x:c r="B387" s="99" t="str">
        <x:v>名词</x:v>
      </x:c>
      <x:c r="C387" s="99" t="n">
        <x:v>17</x:v>
      </x:c>
      <x:c r="D387" s="99" t="str">
        <x:v>exercise</x:v>
      </x:c>
      <x:c r="E387" s="99" t="str">
        <x:v>/ˈeksəsaɪz/</x:v>
      </x:c>
      <x:c r="F387" s="99" t="str">
        <x:v>运动；锻炼；练习</x:v>
      </x:c>
      <x:c r="G387" s="99" t="str">
        <x:v>17. exercise /ˈeksəsaɪz/ 运动；锻炼；练习</x:v>
      </x:c>
    </x:row>
    <x:row r="388" ht="18" customHeight="1">
      <x:c r="A388" s="99" t="str">
        <x:v>E</x:v>
      </x:c>
      <x:c r="B388" s="99" t="str">
        <x:v>动词</x:v>
      </x:c>
      <x:c r="C388" s="99" t="n">
        <x:v>1</x:v>
      </x:c>
      <x:c r="D388" s="99" t="str">
        <x:v>eat</x:v>
      </x:c>
      <x:c r="E388" s="99" t="str">
        <x:v>/iːt/</x:v>
      </x:c>
      <x:c r="F388" s="99" t="str">
        <x:v>吃</x:v>
      </x:c>
      <x:c r="G388" s="99" t="str">
        <x:v>1. eat /iːt/ 吃</x:v>
      </x:c>
    </x:row>
    <x:row r="389" ht="18" customHeight="1">
      <x:c r="A389" s="99" t="str">
        <x:v>E</x:v>
      </x:c>
      <x:c r="B389" s="99" t="str">
        <x:v>动词</x:v>
      </x:c>
      <x:c r="C389" s="99" t="n">
        <x:v>2</x:v>
      </x:c>
      <x:c r="D389" s="99" t="str">
        <x:v>encourage</x:v>
      </x:c>
      <x:c r="E389" s="99" t="str">
        <x:v>/ɪnˈkʌrɪdʒ/</x:v>
      </x:c>
      <x:c r="F389" s="99" t="str">
        <x:v>鼓励；激励</x:v>
      </x:c>
      <x:c r="G389" s="99" t="str">
        <x:v>2. encourage /ɪnˈkʌrɪdʒ/ 鼓励；激励</x:v>
      </x:c>
    </x:row>
    <x:row r="390" ht="18" customHeight="1">
      <x:c r="A390" s="99" t="str">
        <x:v>E</x:v>
      </x:c>
      <x:c r="B390" s="99" t="str">
        <x:v>动词</x:v>
      </x:c>
      <x:c r="C390" s="99" t="n">
        <x:v>3</x:v>
      </x:c>
      <x:c r="D390" s="99" t="str">
        <x:v>end</x:v>
      </x:c>
      <x:c r="E390" s="99" t="str">
        <x:v>/end/</x:v>
      </x:c>
      <x:c r="F390" s="99" t="str">
        <x:v>结束</x:v>
      </x:c>
      <x:c r="G390" s="99" t="str">
        <x:v>3. end /end/ 结束</x:v>
      </x:c>
    </x:row>
    <x:row r="391" ht="18" customHeight="1">
      <x:c r="A391" s="99" t="str">
        <x:v>E</x:v>
      </x:c>
      <x:c r="B391" s="99" t="str">
        <x:v>动词</x:v>
      </x:c>
      <x:c r="C391" s="99" t="n">
        <x:v>4</x:v>
      </x:c>
      <x:c r="D391" s="99" t="str">
        <x:v>enter</x:v>
      </x:c>
      <x:c r="E391" s="99" t="str">
        <x:v>/ˈentə(r)/</x:v>
      </x:c>
      <x:c r="F391" s="99" t="str">
        <x:v>进入</x:v>
      </x:c>
      <x:c r="G391" s="99" t="str">
        <x:v>4. enter /ˈentə(r)/ 进入</x:v>
      </x:c>
    </x:row>
    <x:row r="392" ht="18" customHeight="1">
      <x:c r="A392" s="99" t="str">
        <x:v>E</x:v>
      </x:c>
      <x:c r="B392" s="99" t="str">
        <x:v>动词</x:v>
      </x:c>
      <x:c r="C392" s="99" t="n">
        <x:v>5</x:v>
      </x:c>
      <x:c r="D392" s="99" t="str">
        <x:v>enjoy</x:v>
      </x:c>
      <x:c r="E392" s="99" t="str">
        <x:v>/ɪnˈdʒɔɪ/</x:v>
      </x:c>
      <x:c r="F392" s="99" t="str">
        <x:v>享受……的乐趣；喜爱</x:v>
      </x:c>
      <x:c r="G392" s="99" t="str">
        <x:v>5. enjoy /ɪnˈdʒɔɪ/ 享受……的乐趣；喜爱</x:v>
      </x:c>
    </x:row>
    <x:row r="393" ht="18" customHeight="1">
      <x:c r="A393" s="99" t="str">
        <x:v>E</x:v>
      </x:c>
      <x:c r="B393" s="99" t="str">
        <x:v>动词</x:v>
      </x:c>
      <x:c r="C393" s="99" t="n">
        <x:v>6</x:v>
      </x:c>
      <x:c r="D393" s="99" t="str">
        <x:v>enter</x:v>
      </x:c>
      <x:c r="E393" s="99" t="str">
        <x:v>/ˈentə(r)/</x:v>
      </x:c>
      <x:c r="F393" s="99" t="str">
        <x:v>进入</x:v>
      </x:c>
      <x:c r="G393" s="99" t="str">
        <x:v>6. enter /ˈentə(r)/ 进入</x:v>
      </x:c>
    </x:row>
    <x:row r="394" ht="18" customHeight="1">
      <x:c r="A394" s="99" t="str">
        <x:v>E</x:v>
      </x:c>
      <x:c r="B394" s="99" t="str">
        <x:v>动词</x:v>
      </x:c>
      <x:c r="C394" s="99" t="n">
        <x:v>7</x:v>
      </x:c>
      <x:c r="D394" s="99" t="str">
        <x:v>explain</x:v>
      </x:c>
      <x:c r="E394" s="99" t="str">
        <x:v>/ɪkˈspleɪn/</x:v>
      </x:c>
      <x:c r="F394" s="99" t="str">
        <x:v>解释；说明</x:v>
      </x:c>
      <x:c r="G394" s="99" t="str">
        <x:v>7. explain /ɪkˈspleɪn/ 解释；说明</x:v>
      </x:c>
    </x:row>
    <x:row r="395" ht="18" customHeight="1">
      <x:c r="A395" s="99" t="str">
        <x:v>E</x:v>
      </x:c>
      <x:c r="B395" s="99" t="str">
        <x:v>动词</x:v>
      </x:c>
      <x:c r="C395" s="99" t="n">
        <x:v>8</x:v>
      </x:c>
      <x:c r="D395" s="99" t="str">
        <x:v>excite</x:v>
      </x:c>
      <x:c r="E395" s="99" t="str">
        <x:v>/ɪkˈsaɪt/</x:v>
      </x:c>
      <x:c r="F395" s="99" t="str">
        <x:v>使激动；使兴奋</x:v>
      </x:c>
      <x:c r="G395" s="99" t="str">
        <x:v>8. excite /ɪkˈsaɪt/ 使激动；使兴奋</x:v>
      </x:c>
    </x:row>
    <x:row r="396" ht="18" customHeight="1">
      <x:c r="A396" s="99" t="str">
        <x:v>E</x:v>
      </x:c>
      <x:c r="B396" s="99" t="str">
        <x:v>动词</x:v>
      </x:c>
      <x:c r="C396" s="99" t="n">
        <x:v>9</x:v>
      </x:c>
      <x:c r="D396" s="99" t="str">
        <x:v>exercise</x:v>
      </x:c>
      <x:c r="E396" s="99" t="str">
        <x:v>/ˈeksəsaɪz/</x:v>
      </x:c>
      <x:c r="F396" s="99" t="str">
        <x:v>锻炼；练习</x:v>
      </x:c>
      <x:c r="G396" s="99" t="str">
        <x:v>9. exercise /ˈeksəsaɪz/ 锻炼；练习</x:v>
      </x:c>
    </x:row>
    <x:row r="397" ht="18" customHeight="1">
      <x:c r="A397" s="99" t="str">
        <x:v>E</x:v>
      </x:c>
      <x:c r="B397" s="99" t="str">
        <x:v>形容词</x:v>
      </x:c>
      <x:c r="C397" s="99" t="n">
        <x:v>1</x:v>
      </x:c>
      <x:c r="D397" s="99" t="str">
        <x:v>early</x:v>
      </x:c>
      <x:c r="E397" s="99" t="str">
        <x:v>/ˈɜːli/</x:v>
      </x:c>
      <x:c r="F397" s="99" t="str">
        <x:v>早的；提早的</x:v>
      </x:c>
      <x:c r="G397" s="99" t="str">
        <x:v>1. early /ˈɜːli/ 早的；提早的</x:v>
      </x:c>
    </x:row>
    <x:row r="398" ht="18" customHeight="1">
      <x:c r="A398" s="99" t="str">
        <x:v>E</x:v>
      </x:c>
      <x:c r="B398" s="99" t="str">
        <x:v>形容词</x:v>
      </x:c>
      <x:c r="C398" s="99" t="n">
        <x:v>2</x:v>
      </x:c>
      <x:c r="D398" s="99" t="str">
        <x:v>east</x:v>
      </x:c>
      <x:c r="E398" s="99" t="str">
        <x:v>/iːst/</x:v>
      </x:c>
      <x:c r="F398" s="99" t="str">
        <x:v>东方的；东部的</x:v>
      </x:c>
      <x:c r="G398" s="99" t="str">
        <x:v>2. east /iːst/ 东方的；东部的</x:v>
      </x:c>
    </x:row>
    <x:row r="399" ht="18" customHeight="1">
      <x:c r="A399" s="99" t="str">
        <x:v>E</x:v>
      </x:c>
      <x:c r="B399" s="99" t="str">
        <x:v>形容词</x:v>
      </x:c>
      <x:c r="C399" s="99" t="n">
        <x:v>3</x:v>
      </x:c>
      <x:c r="D399" s="99" t="str">
        <x:v>easy</x:v>
      </x:c>
      <x:c r="E399" s="99" t="str">
        <x:v>/ˈiːzi/</x:v>
      </x:c>
      <x:c r="F399" s="99" t="str">
        <x:v>容易的</x:v>
      </x:c>
      <x:c r="G399" s="99" t="str">
        <x:v>3. easy /ˈiːzi/ 容易的</x:v>
      </x:c>
    </x:row>
    <x:row r="400" ht="18" customHeight="1">
      <x:c r="A400" s="99" t="str">
        <x:v>E</x:v>
      </x:c>
      <x:c r="B400" s="99" t="str">
        <x:v>形容词</x:v>
      </x:c>
      <x:c r="C400" s="99" t="n">
        <x:v>4</x:v>
      </x:c>
      <x:c r="D400" s="99" t="str">
        <x:v>eastern</x:v>
      </x:c>
      <x:c r="E400" s="99" t="str">
        <x:v>/ˈiːstən/</x:v>
      </x:c>
      <x:c r="F400" s="99" t="str">
        <x:v>东方的</x:v>
      </x:c>
      <x:c r="G400" s="99" t="str">
        <x:v>4. eastern /ˈiːstən/ 东方的</x:v>
      </x:c>
    </x:row>
    <x:row r="401" ht="18" customHeight="1">
      <x:c r="A401" s="99" t="str">
        <x:v>E</x:v>
      </x:c>
      <x:c r="B401" s="99" t="str">
        <x:v>形容词</x:v>
      </x:c>
      <x:c r="C401" s="99" t="n">
        <x:v>5</x:v>
      </x:c>
      <x:c r="D401" s="99" t="str">
        <x:v>easy</x:v>
      </x:c>
      <x:c r="E401" s="99" t="str">
        <x:v>/ˈiːzi/</x:v>
      </x:c>
      <x:c r="F401" s="99" t="str">
        <x:v>容易的</x:v>
      </x:c>
      <x:c r="G401" s="99" t="str">
        <x:v>5. easy /ˈiːzi/ 容易的</x:v>
      </x:c>
    </x:row>
    <x:row r="402" ht="18" customHeight="1">
      <x:c r="A402" s="99" t="str">
        <x:v>E</x:v>
      </x:c>
      <x:c r="B402" s="99" t="str">
        <x:v>形容词</x:v>
      </x:c>
      <x:c r="C402" s="99" t="n">
        <x:v>6</x:v>
      </x:c>
      <x:c r="D402" s="99" t="str">
        <x:v>either</x:v>
      </x:c>
      <x:c r="E402" s="99" t="str">
        <x:v>/ˈaɪðə(r)/</x:v>
      </x:c>
      <x:c r="F402" s="99" t="str">
        <x:v>（两者中）任一的</x:v>
      </x:c>
      <x:c r="G402" s="99" t="str">
        <x:v>6. either /ˈaɪðə(r)/ （两者中）任一的</x:v>
      </x:c>
    </x:row>
    <x:row r="403" ht="18" customHeight="1">
      <x:c r="A403" s="99" t="str">
        <x:v>E</x:v>
      </x:c>
      <x:c r="B403" s="99" t="str">
        <x:v>形容词</x:v>
      </x:c>
      <x:c r="C403" s="99" t="n">
        <x:v>7</x:v>
      </x:c>
      <x:c r="D403" s="99" t="str">
        <x:v>empty</x:v>
      </x:c>
      <x:c r="E403" s="99" t="str">
        <x:v>/ˈempti/</x:v>
      </x:c>
      <x:c r="F403" s="99" t="str">
        <x:v>空的</x:v>
      </x:c>
      <x:c r="G403" s="99" t="str">
        <x:v>7. empty /ˈempti/ 空的</x:v>
      </x:c>
    </x:row>
    <x:row r="404" ht="18" customHeight="1">
      <x:c r="A404" s="99" t="str">
        <x:v>E</x:v>
      </x:c>
      <x:c r="B404" s="99" t="str">
        <x:v>形容词</x:v>
      </x:c>
      <x:c r="C404" s="99" t="n">
        <x:v>8</x:v>
      </x:c>
      <x:c r="D404" s="99" t="str">
        <x:v>enough</x:v>
      </x:c>
      <x:c r="E404" s="99" t="str">
        <x:v>/ɪˈnʌf/</x:v>
      </x:c>
      <x:c r="F404" s="99" t="str">
        <x:v>足够的；充分的</x:v>
      </x:c>
      <x:c r="G404" s="99" t="str">
        <x:v>8. enough /ɪˈnʌf/ 足够的；充分的</x:v>
      </x:c>
    </x:row>
    <x:row r="405" ht="18" customHeight="1">
      <x:c r="A405" s="99" t="str">
        <x:v>E</x:v>
      </x:c>
      <x:c r="B405" s="99" t="str">
        <x:v>形容词</x:v>
      </x:c>
      <x:c r="C405" s="99" t="n">
        <x:v>9</x:v>
      </x:c>
      <x:c r="D405" s="99" t="str">
        <x:v>European</x:v>
      </x:c>
      <x:c r="E405" s="99" t="str">
        <x:v>/ˌjʊərəˈpiːən/</x:v>
      </x:c>
      <x:c r="F405" s="99" t="str">
        <x:v>欧洲的</x:v>
      </x:c>
      <x:c r="G405" s="99" t="str">
        <x:v>9. European /ˌjʊərəˈpiːən/ 欧洲的</x:v>
      </x:c>
    </x:row>
    <x:row r="406" ht="18" customHeight="1">
      <x:c r="A406" s="99" t="str">
        <x:v>E</x:v>
      </x:c>
      <x:c r="B406" s="99" t="str">
        <x:v>形容词</x:v>
      </x:c>
      <x:c r="C406" s="99" t="n">
        <x:v>10</x:v>
      </x:c>
      <x:c r="D406" s="99" t="str">
        <x:v>excellent</x:v>
      </x:c>
      <x:c r="E406" s="99" t="str">
        <x:v>/ˈeksələnt/</x:v>
      </x:c>
      <x:c r="F406" s="99" t="str">
        <x:v>极好的；优秀的</x:v>
      </x:c>
      <x:c r="G406" s="99" t="str">
        <x:v>10. excellent /ˈeksələnt/ 极好的；优秀的</x:v>
      </x:c>
    </x:row>
    <x:row r="407" ht="18" customHeight="1">
      <x:c r="A407" s="99" t="str">
        <x:v>E</x:v>
      </x:c>
      <x:c r="B407" s="99" t="str">
        <x:v>形容词</x:v>
      </x:c>
      <x:c r="C407" s="99" t="n">
        <x:v>11</x:v>
      </x:c>
      <x:c r="D407" s="99" t="str">
        <x:v>excited</x:v>
      </x:c>
      <x:c r="E407" s="99" t="str">
        <x:v>/ɪkˈsaɪtɪd/</x:v>
      </x:c>
      <x:c r="F407" s="99" t="str">
        <x:v>激动的；兴奋的</x:v>
      </x:c>
      <x:c r="G407" s="99" t="str">
        <x:v>11. excited /ɪkˈsaɪtɪd/ 激动的；兴奋的</x:v>
      </x:c>
    </x:row>
    <x:row r="408" ht="18" customHeight="1">
      <x:c r="A408" s="99" t="str">
        <x:v>E</x:v>
      </x:c>
      <x:c r="B408" s="99" t="str">
        <x:v>形容词</x:v>
      </x:c>
      <x:c r="C408" s="99" t="n">
        <x:v>12</x:v>
      </x:c>
      <x:c r="D408" s="99" t="str">
        <x:v>exciting</x:v>
      </x:c>
      <x:c r="E408" s="99" t="str">
        <x:v>/ɪkˈsaɪtɪŋ/</x:v>
      </x:c>
      <x:c r="F408" s="99" t="str">
        <x:v>令人激动的；使人兴奋的</x:v>
      </x:c>
      <x:c r="G408" s="99" t="str">
        <x:v>12. exciting /ɪkˈsaɪtɪŋ/ 令人激动的；使人兴奋的</x:v>
      </x:c>
    </x:row>
    <x:row r="409" ht="18" customHeight="1">
      <x:c r="A409" s="99" t="str">
        <x:v>E</x:v>
      </x:c>
      <x:c r="B409" s="99" t="str">
        <x:v>形容词</x:v>
      </x:c>
      <x:c r="C409" s="99" t="n">
        <x:v>13</x:v>
      </x:c>
      <x:c r="D409" s="99" t="str">
        <x:v>expensive</x:v>
      </x:c>
      <x:c r="E409" s="99" t="str">
        <x:v>/ɪkˈspensɪv/</x:v>
      </x:c>
      <x:c r="F409" s="99" t="str">
        <x:v>昂贵的</x:v>
      </x:c>
      <x:c r="G409" s="99" t="str">
        <x:v>13. expensive /ɪkˈspensɪv/ 昂贵的</x:v>
      </x:c>
    </x:row>
    <x:row r="410" ht="18" customHeight="1">
      <x:c r="A410" s="99" t="str">
        <x:v>E</x:v>
      </x:c>
      <x:c r="B410" s="99" t="str">
        <x:v>副词</x:v>
      </x:c>
      <x:c r="C410" s="99" t="n">
        <x:v>1</x:v>
      </x:c>
      <x:c r="D410" s="99" t="str">
        <x:v>early</x:v>
      </x:c>
      <x:c r="E410" s="99" t="str">
        <x:v>/ˈɜːli/</x:v>
      </x:c>
      <x:c r="F410" s="99" t="str">
        <x:v>早；提早</x:v>
      </x:c>
      <x:c r="G410" s="99" t="str">
        <x:v>1. early /ˈɜːli/ 早；提早</x:v>
      </x:c>
    </x:row>
    <x:row r="411" ht="18" customHeight="1">
      <x:c r="A411" s="99" t="str">
        <x:v>E</x:v>
      </x:c>
      <x:c r="B411" s="99" t="str">
        <x:v>副词</x:v>
      </x:c>
      <x:c r="C411" s="99" t="n">
        <x:v>2</x:v>
      </x:c>
      <x:c r="D411" s="99" t="str">
        <x:v>east</x:v>
      </x:c>
      <x:c r="E411" s="99" t="str">
        <x:v>/iːst/</x:v>
      </x:c>
      <x:c r="F411" s="99" t="str">
        <x:v>向东</x:v>
      </x:c>
      <x:c r="G411" s="99" t="str">
        <x:v>2. east /iːst/ 向东</x:v>
      </x:c>
    </x:row>
    <x:row r="412" ht="18" customHeight="1">
      <x:c r="A412" s="99" t="str">
        <x:v>E</x:v>
      </x:c>
      <x:c r="B412" s="99" t="str">
        <x:v>副词</x:v>
      </x:c>
      <x:c r="C412" s="99" t="n">
        <x:v>3</x:v>
      </x:c>
      <x:c r="D412" s="99" t="str">
        <x:v>either</x:v>
      </x:c>
      <x:c r="E412" s="99" t="str">
        <x:v>/ˈaɪðə(r)/</x:v>
      </x:c>
      <x:c r="F412" s="99" t="str">
        <x:v>也（不）</x:v>
      </x:c>
      <x:c r="G412" s="99" t="str">
        <x:v>3. either /ˈaɪðə(r)/ 也（不）</x:v>
      </x:c>
    </x:row>
    <x:row r="413" ht="18" customHeight="1">
      <x:c r="A413" s="99" t="str">
        <x:v>E</x:v>
      </x:c>
      <x:c r="B413" s="99" t="str">
        <x:v>副词</x:v>
      </x:c>
      <x:c r="C413" s="99" t="n">
        <x:v>4</x:v>
      </x:c>
      <x:c r="D413" s="99" t="str">
        <x:v>especially</x:v>
      </x:c>
      <x:c r="E413" s="99" t="str">
        <x:v>/ɪˈspeʃəli/</x:v>
      </x:c>
      <x:c r="F413" s="99" t="str">
        <x:v>尤其</x:v>
      </x:c>
      <x:c r="G413" s="99" t="str">
        <x:v>4. especially /ɪˈspeʃəli/ 尤其</x:v>
      </x:c>
    </x:row>
    <x:row r="414" ht="18" customHeight="1">
      <x:c r="A414" s="99" t="str">
        <x:v>E</x:v>
      </x:c>
      <x:c r="B414" s="99" t="str">
        <x:v>副词</x:v>
      </x:c>
      <x:c r="C414" s="99" t="n">
        <x:v>5</x:v>
      </x:c>
      <x:c r="D414" s="99" t="str">
        <x:v>even</x:v>
      </x:c>
      <x:c r="E414" s="99" t="str">
        <x:v>/ˈiːvn/</x:v>
      </x:c>
      <x:c r="F414" s="99" t="str">
        <x:v>甚至；连</x:v>
      </x:c>
      <x:c r="G414" s="99" t="str">
        <x:v>5. even /ˈiːvn/ 甚至；连</x:v>
      </x:c>
    </x:row>
    <x:row r="415" ht="18" customHeight="1">
      <x:c r="A415" s="99" t="str">
        <x:v>E</x:v>
      </x:c>
      <x:c r="B415" s="99" t="str">
        <x:v>副词</x:v>
      </x:c>
      <x:c r="C415" s="99" t="n">
        <x:v>6</x:v>
      </x:c>
      <x:c r="D415" s="99" t="str">
        <x:v>ever</x:v>
      </x:c>
      <x:c r="E415" s="99" t="str">
        <x:v>/ˈevə(r)/</x:v>
      </x:c>
      <x:c r="F415" s="99" t="str">
        <x:v>曾经；从来；在任何时候</x:v>
      </x:c>
      <x:c r="G415" s="99" t="str">
        <x:v>6. ever /ˈevə(r)/ 曾经；从来；在任何时候</x:v>
      </x:c>
    </x:row>
    <x:row r="416" ht="18" customHeight="1">
      <x:c r="A416" s="99" t="str">
        <x:v>E</x:v>
      </x:c>
      <x:c r="B416" s="99" t="str">
        <x:v>介词</x:v>
      </x:c>
      <x:c r="C416" s="99" t="n">
        <x:v>1</x:v>
      </x:c>
      <x:c r="D416" s="99" t="str">
        <x:v>except</x:v>
      </x:c>
      <x:c r="E416" s="99" t="str">
        <x:v>/ɪkˈsept/</x:v>
      </x:c>
      <x:c r="F416" s="99" t="str">
        <x:v>除……之外</x:v>
      </x:c>
      <x:c r="G416" s="99" t="str">
        <x:v>1. except /ɪkˈsept/ 除……之外</x:v>
      </x:c>
    </x:row>
    <x:row r="417" ht="18" customHeight="1">
      <x:c r="A417" s="99" t="str">
        <x:v>E</x:v>
      </x:c>
      <x:c r="B417" s="99" t="str">
        <x:v>介词</x:v>
      </x:c>
      <x:c r="C417" s="99" t="n">
        <x:v>2</x:v>
      </x:c>
      <x:c r="D417" s="99" t="str">
        <x:v>except</x:v>
      </x:c>
      <x:c r="E417" s="99" t="str"/>
      <x:c r="F417" s="99" t="str">
        <x:v>for 除了</x:v>
      </x:c>
      <x:c r="G417" s="99" t="str">
        <x:v>2. except for 除了</x:v>
      </x:c>
    </x:row>
    <x:row r="418" ht="18" customHeight="1">
      <x:c r="A418" s="99" t="str">
        <x:v>E</x:v>
      </x:c>
      <x:c r="B418" s="99" t="str">
        <x:v>代词</x:v>
      </x:c>
      <x:c r="C418" s="99" t="n">
        <x:v>1</x:v>
      </x:c>
      <x:c r="D418" s="99" t="str">
        <x:v>each</x:v>
      </x:c>
      <x:c r="E418" s="99" t="str">
        <x:v>/iːtʃ/</x:v>
      </x:c>
      <x:c r="F418" s="99" t="str">
        <x:v>各个；每个</x:v>
      </x:c>
      <x:c r="G418" s="99" t="str">
        <x:v>1. each /iːtʃ/ 各个；每个</x:v>
      </x:c>
    </x:row>
    <x:row r="419" ht="18" customHeight="1">
      <x:c r="A419" s="99" t="str">
        <x:v>E</x:v>
      </x:c>
      <x:c r="B419" s="99" t="str">
        <x:v>代词</x:v>
      </x:c>
      <x:c r="C419" s="99" t="n">
        <x:v>2</x:v>
      </x:c>
      <x:c r="D419" s="99" t="str">
        <x:v>either</x:v>
      </x:c>
      <x:c r="E419" s="99" t="str">
        <x:v>/ˈaɪðə(r)/</x:v>
      </x:c>
      <x:c r="F419" s="99" t="str">
        <x:v>两者之一</x:v>
      </x:c>
      <x:c r="G419" s="99" t="str">
        <x:v>2. either /ˈaɪðə(r)/ 两者之一</x:v>
      </x:c>
    </x:row>
    <x:row r="420" ht="18" customHeight="1">
      <x:c r="A420" s="99" t="str">
        <x:v>E</x:v>
      </x:c>
      <x:c r="B420" s="99" t="str">
        <x:v>代词</x:v>
      </x:c>
      <x:c r="C420" s="99" t="n">
        <x:v>3</x:v>
      </x:c>
      <x:c r="D420" s="99" t="str">
        <x:v>everyone</x:v>
      </x:c>
      <x:c r="E420" s="99" t="str">
        <x:v>/ˈevriwʌn/</x:v>
      </x:c>
      <x:c r="F420" s="99" t="str">
        <x:v>每个人；大家</x:v>
      </x:c>
      <x:c r="G420" s="99" t="str">
        <x:v>3. everyone /ˈevriwʌn/ 每个人；大家</x:v>
      </x:c>
    </x:row>
    <x:row r="421" ht="18" customHeight="1">
      <x:c r="A421" s="99" t="str">
        <x:v>E</x:v>
      </x:c>
      <x:c r="B421" s="99" t="str">
        <x:v>代词</x:v>
      </x:c>
      <x:c r="C421" s="99" t="n">
        <x:v>4</x:v>
      </x:c>
      <x:c r="D421" s="99" t="str">
        <x:v>everything</x:v>
      </x:c>
      <x:c r="E421" s="99" t="str">
        <x:v>/ˈevriθɪŋ/</x:v>
      </x:c>
      <x:c r="F421" s="99" t="str">
        <x:v>每样事物；每件事；所有事物</x:v>
      </x:c>
      <x:c r="G421" s="99" t="str">
        <x:v>4. everything /ˈevriθɪŋ/ 每样事物；每件事；所有事物</x:v>
      </x:c>
    </x:row>
    <x:row r="422" ht="18" customHeight="1">
      <x:c r="A422" s="99" t="str">
        <x:v>E</x:v>
      </x:c>
      <x:c r="B422" s="99" t="str">
        <x:v>代词</x:v>
      </x:c>
      <x:c r="C422" s="99" t="n">
        <x:v>5</x:v>
      </x:c>
      <x:c r="D422" s="99" t="str">
        <x:v>everywhere</x:v>
      </x:c>
      <x:c r="E422" s="99" t="str">
        <x:v>/ˈevriweə(r)/</x:v>
      </x:c>
      <x:c r="F422" s="99" t="str">
        <x:v>到处；处处</x:v>
      </x:c>
      <x:c r="G422" s="99" t="str">
        <x:v>5. everywhere /ˈevriweə(r)/ 到处；处处</x:v>
      </x:c>
    </x:row>
    <x:row r="423" ht="18" customHeight="1">
      <x:c r="A423" s="99" t="str">
        <x:v>E</x:v>
      </x:c>
      <x:c r="B423" s="99" t="str">
        <x:v>短语</x:v>
      </x:c>
      <x:c r="C423" s="99" t="n">
        <x:v>1</x:v>
      </x:c>
      <x:c r="D423" s="99" t="str">
        <x:v>each</x:v>
      </x:c>
      <x:c r="E423" s="99" t="str"/>
      <x:c r="F423" s="99" t="str">
        <x:v>other 互相；彼此</x:v>
      </x:c>
      <x:c r="G423" s="99" t="str">
        <x:v>1. each other 互相；彼此</x:v>
      </x:c>
    </x:row>
    <x:row r="424" ht="18" customHeight="1">
      <x:c r="A424" s="99" t="str">
        <x:v>E</x:v>
      </x:c>
      <x:c r="B424" s="99" t="str">
        <x:v>短语</x:v>
      </x:c>
      <x:c r="C424" s="99" t="n">
        <x:v>2</x:v>
      </x:c>
      <x:c r="D424" s="99" t="str">
        <x:v>enjoy</x:v>
      </x:c>
      <x:c r="E424" s="99" t="str"/>
      <x:c r="F424" s="99" t="str">
        <x:v>oneself 过得愉快</x:v>
      </x:c>
      <x:c r="G424" s="99" t="str">
        <x:v>2. enjoy oneself 过得愉快</x:v>
      </x:c>
    </x:row>
    <x:row r="425" ht="18" customHeight="1">
      <x:c r="A425" s="99" t="str">
        <x:v>E</x:v>
      </x:c>
      <x:c r="B425" s="99" t="str">
        <x:v>短语</x:v>
      </x:c>
      <x:c r="C425" s="99" t="n">
        <x:v>3</x:v>
      </x:c>
      <x:c r="D425" s="99" t="str">
        <x:v>for</x:v>
      </x:c>
      <x:c r="E425" s="99" t="str"/>
      <x:c r="F425" s="99" t="str">
        <x:v>example 例如</x:v>
      </x:c>
      <x:c r="G425" s="99" t="str">
        <x:v>3. for example 例如</x:v>
      </x:c>
    </x:row>
    <x:row r="426" ht="18" customHeight="1">
      <x:c r="A426" s="99" t="str">
        <x:v>E</x:v>
      </x:c>
      <x:c r="B426" s="99" t="str">
        <x:v>短语</x:v>
      </x:c>
      <x:c r="C426" s="99" t="n">
        <x:v>4</x:v>
      </x:c>
      <x:c r="D426" s="99" t="str">
        <x:v>in</x:v>
      </x:c>
      <x:c r="E426" s="99" t="str"/>
      <x:c r="F426" s="99" t="str">
        <x:v>the end 最后；终于</x:v>
      </x:c>
      <x:c r="G426" s="99" t="str">
        <x:v>4. in the end 最后；终于</x:v>
      </x:c>
    </x:row>
    <x:row r="427" ht="18" customHeight="1">
      <x:c r="A427" s="99" t="str">
        <x:v>F</x:v>
      </x:c>
      <x:c r="B427" s="99" t="str">
        <x:v>名词</x:v>
      </x:c>
      <x:c r="C427" s="99" t="n">
        <x:v>1</x:v>
      </x:c>
      <x:c r="D427" s="99" t="str">
        <x:v>face</x:v>
      </x:c>
      <x:c r="E427" s="99" t="str">
        <x:v>/feɪs/</x:v>
      </x:c>
      <x:c r="F427" s="99" t="str">
        <x:v>脸</x:v>
      </x:c>
      <x:c r="G427" s="99" t="str">
        <x:v>1. face /feɪs/ 脸</x:v>
      </x:c>
    </x:row>
    <x:row r="428" ht="18" customHeight="1">
      <x:c r="A428" s="99" t="str">
        <x:v>F</x:v>
      </x:c>
      <x:c r="B428" s="99" t="str">
        <x:v>名词</x:v>
      </x:c>
      <x:c r="C428" s="99" t="n">
        <x:v>2</x:v>
      </x:c>
      <x:c r="D428" s="99" t="str">
        <x:v>fact</x:v>
      </x:c>
      <x:c r="E428" s="99" t="str">
        <x:v>/fækt/</x:v>
      </x:c>
      <x:c r="F428" s="99" t="str">
        <x:v>事实；细节</x:v>
      </x:c>
      <x:c r="G428" s="99" t="str">
        <x:v>2. fact /fækt/ 事实；细节</x:v>
      </x:c>
    </x:row>
    <x:row r="429" ht="18" customHeight="1">
      <x:c r="A429" s="99" t="str">
        <x:v>F</x:v>
      </x:c>
      <x:c r="B429" s="99" t="str">
        <x:v>名词</x:v>
      </x:c>
      <x:c r="C429" s="99" t="n">
        <x:v>3</x:v>
      </x:c>
      <x:c r="D429" s="99" t="str">
        <x:v>fan</x:v>
      </x:c>
      <x:c r="E429" s="99" t="str">
        <x:v>/fæn/</x:v>
      </x:c>
      <x:c r="F429" s="99" t="str">
        <x:v>迷；支持者</x:v>
      </x:c>
      <x:c r="G429" s="99" t="str">
        <x:v>3. fan /fæn/ 迷；支持者</x:v>
      </x:c>
    </x:row>
    <x:row r="430" ht="18" customHeight="1">
      <x:c r="A430" s="99" t="str">
        <x:v>F</x:v>
      </x:c>
      <x:c r="B430" s="99" t="str">
        <x:v>名词</x:v>
      </x:c>
      <x:c r="C430" s="99" t="n">
        <x:v>4</x:v>
      </x:c>
      <x:c r="D430" s="99" t="str">
        <x:v>farm</x:v>
      </x:c>
      <x:c r="E430" s="99" t="str">
        <x:v>/fɑːm/</x:v>
      </x:c>
      <x:c r="F430" s="99" t="str">
        <x:v>农场</x:v>
      </x:c>
      <x:c r="G430" s="99" t="str">
        <x:v>4. farm /fɑːm/ 农场</x:v>
      </x:c>
    </x:row>
    <x:row r="431" ht="18" customHeight="1">
      <x:c r="A431" s="99" t="str">
        <x:v>F</x:v>
      </x:c>
      <x:c r="B431" s="99" t="str">
        <x:v>名词</x:v>
      </x:c>
      <x:c r="C431" s="99" t="n">
        <x:v>5</x:v>
      </x:c>
      <x:c r="D431" s="99" t="str">
        <x:v>farmer</x:v>
      </x:c>
      <x:c r="E431" s="99" t="str">
        <x:v>/ˈfɑːmə/</x:v>
      </x:c>
      <x:c r="F431" s="99" t="str">
        <x:v>农民</x:v>
      </x:c>
      <x:c r="G431" s="99" t="str">
        <x:v>5. farmer /ˈfɑːmə/ 农民</x:v>
      </x:c>
    </x:row>
    <x:row r="432" ht="18" customHeight="1">
      <x:c r="A432" s="99" t="str">
        <x:v>F</x:v>
      </x:c>
      <x:c r="B432" s="99" t="str">
        <x:v>名词</x:v>
      </x:c>
      <x:c r="C432" s="99" t="n">
        <x:v>6</x:v>
      </x:c>
      <x:c r="D432" s="99" t="str">
        <x:v>fast food</x:v>
      </x:c>
      <x:c r="E432" s="99" t="str">
        <x:v>/fɑːst fuːd/</x:v>
      </x:c>
      <x:c r="F432" s="99" t="str">
        <x:v>快餐食品</x:v>
      </x:c>
      <x:c r="G432" s="99" t="str">
        <x:v>6. fast food /fɑːst fuːd/ 快餐食品</x:v>
      </x:c>
    </x:row>
    <x:row r="433" ht="18" customHeight="1">
      <x:c r="A433" s="99" t="str">
        <x:v>F</x:v>
      </x:c>
      <x:c r="B433" s="99" t="str">
        <x:v>名词</x:v>
      </x:c>
      <x:c r="C433" s="99" t="n">
        <x:v>7</x:v>
      </x:c>
      <x:c r="D433" s="99" t="str">
        <x:v>father</x:v>
      </x:c>
      <x:c r="E433" s="99" t="str">
        <x:v>/ˈfɑːðə/</x:v>
      </x:c>
      <x:c r="F433" s="99" t="str">
        <x:v>父亲；爸爸</x:v>
      </x:c>
      <x:c r="G433" s="99" t="str">
        <x:v>7. father /ˈfɑːðə/ 父亲；爸爸</x:v>
      </x:c>
    </x:row>
    <x:row r="434" ht="18" customHeight="1">
      <x:c r="A434" s="99" t="str">
        <x:v>F</x:v>
      </x:c>
      <x:c r="B434" s="99" t="str">
        <x:v>名词</x:v>
      </x:c>
      <x:c r="C434" s="99" t="n">
        <x:v>8</x:v>
      </x:c>
      <x:c r="D434" s="99" t="str">
        <x:v>fear</x:v>
      </x:c>
      <x:c r="E434" s="99" t="str">
        <x:v>/fɪə/</x:v>
      </x:c>
      <x:c r="F434" s="99" t="str">
        <x:v>害怕；恐惧</x:v>
      </x:c>
      <x:c r="G434" s="99" t="str">
        <x:v>8. fear /fɪə/ 害怕；恐惧</x:v>
      </x:c>
    </x:row>
    <x:row r="435" ht="18" customHeight="1">
      <x:c r="A435" s="99" t="str">
        <x:v>F</x:v>
      </x:c>
      <x:c r="B435" s="99" t="str">
        <x:v>名词</x:v>
      </x:c>
      <x:c r="C435" s="99" t="n">
        <x:v>9</x:v>
      </x:c>
      <x:c r="D435" s="99" t="str">
        <x:v>February</x:v>
      </x:c>
      <x:c r="E435" s="99" t="str">
        <x:v>/ˈfebruəri/</x:v>
      </x:c>
      <x:c r="F435" s="99" t="str">
        <x:v>二月</x:v>
      </x:c>
      <x:c r="G435" s="99" t="str">
        <x:v>9. February /ˈfebruəri/ 二月</x:v>
      </x:c>
    </x:row>
    <x:row r="436" ht="18" customHeight="1">
      <x:c r="A436" s="99" t="str">
        <x:v>F</x:v>
      </x:c>
      <x:c r="B436" s="99" t="str">
        <x:v>名词</x:v>
      </x:c>
      <x:c r="C436" s="99" t="n">
        <x:v>10</x:v>
      </x:c>
      <x:c r="D436" s="99" t="str">
        <x:v>festival</x:v>
      </x:c>
      <x:c r="E436" s="99" t="str">
        <x:v>/ˈfestɪvl/</x:v>
      </x:c>
      <x:c r="F436" s="99" t="str">
        <x:v>节日</x:v>
      </x:c>
      <x:c r="G436" s="99" t="str">
        <x:v>10. festival /ˈfestɪvl/ 节日</x:v>
      </x:c>
    </x:row>
    <x:row r="437" ht="18" customHeight="1">
      <x:c r="A437" s="99" t="str">
        <x:v>F</x:v>
      </x:c>
      <x:c r="B437" s="99" t="str">
        <x:v>名词</x:v>
      </x:c>
      <x:c r="C437" s="99" t="n">
        <x:v>11</x:v>
      </x:c>
      <x:c r="D437" s="99" t="str">
        <x:v>fever</x:v>
      </x:c>
      <x:c r="E437" s="99" t="str">
        <x:v>/ˈfiːvə/</x:v>
      </x:c>
      <x:c r="F437" s="99" t="str">
        <x:v>发烧；发热</x:v>
      </x:c>
      <x:c r="G437" s="99" t="str">
        <x:v>11. fever /ˈfiːvə/ 发烧；发热</x:v>
      </x:c>
    </x:row>
    <x:row r="438" ht="18" customHeight="1">
      <x:c r="A438" s="99" t="str">
        <x:v>F</x:v>
      </x:c>
      <x:c r="B438" s="99" t="str">
        <x:v>名词</x:v>
      </x:c>
      <x:c r="C438" s="99" t="n">
        <x:v>12</x:v>
      </x:c>
      <x:c r="D438" s="99" t="str">
        <x:v>field</x:v>
      </x:c>
      <x:c r="E438" s="99" t="str">
        <x:v>/fiːld/</x:v>
      </x:c>
      <x:c r="F438" s="99" t="str">
        <x:v>牧场；田地</x:v>
      </x:c>
      <x:c r="G438" s="99" t="str">
        <x:v>12. field /fiːld/ 牧场；田地</x:v>
      </x:c>
    </x:row>
    <x:row r="439" ht="18" customHeight="1">
      <x:c r="A439" s="99" t="str">
        <x:v>F</x:v>
      </x:c>
      <x:c r="B439" s="99" t="str">
        <x:v>名词</x:v>
      </x:c>
      <x:c r="C439" s="99" t="n">
        <x:v>13</x:v>
      </x:c>
      <x:c r="D439" s="99" t="str">
        <x:v>film</x:v>
      </x:c>
      <x:c r="E439" s="99" t="str">
        <x:v>/fɪlm/</x:v>
      </x:c>
      <x:c r="F439" s="99" t="str">
        <x:v>电影</x:v>
      </x:c>
      <x:c r="G439" s="99" t="str">
        <x:v>13. film /fɪlm/ 电影</x:v>
      </x:c>
    </x:row>
    <x:row r="440" ht="18" customHeight="1">
      <x:c r="A440" s="99" t="str">
        <x:v>F</x:v>
      </x:c>
      <x:c r="B440" s="99" t="str">
        <x:v>名词</x:v>
      </x:c>
      <x:c r="C440" s="99" t="n">
        <x:v>14</x:v>
      </x:c>
      <x:c r="D440" s="99" t="str">
        <x:v>finger</x:v>
      </x:c>
      <x:c r="E440" s="99" t="str">
        <x:v>/ˈfɪŋɡə/</x:v>
      </x:c>
      <x:c r="F440" s="99" t="str">
        <x:v>手指</x:v>
      </x:c>
      <x:c r="G440" s="99" t="str">
        <x:v>14. finger /ˈfɪŋɡə/ 手指</x:v>
      </x:c>
    </x:row>
    <x:row r="441" ht="18" customHeight="1">
      <x:c r="A441" s="99" t="str">
        <x:v>F</x:v>
      </x:c>
      <x:c r="B441" s="99" t="str">
        <x:v>名词</x:v>
      </x:c>
      <x:c r="C441" s="99" t="n">
        <x:v>15</x:v>
      </x:c>
      <x:c r="D441" s="99" t="str">
        <x:v>fire</x:v>
      </x:c>
      <x:c r="E441" s="99" t="str">
        <x:v>/ˈfaɪə/</x:v>
      </x:c>
      <x:c r="F441" s="99" t="str">
        <x:v>火；火灾</x:v>
      </x:c>
      <x:c r="G441" s="99" t="str">
        <x:v>15. fire /ˈfaɪə/ 火；火灾</x:v>
      </x:c>
    </x:row>
    <x:row r="442" ht="18" customHeight="1">
      <x:c r="A442" s="99" t="str">
        <x:v>F</x:v>
      </x:c>
      <x:c r="B442" s="99" t="str">
        <x:v>名词</x:v>
      </x:c>
      <x:c r="C442" s="99" t="n">
        <x:v>16</x:v>
      </x:c>
      <x:c r="D442" s="99" t="str">
        <x:v>fish</x:v>
      </x:c>
      <x:c r="E442" s="99" t="str">
        <x:v>/fɪʃ/</x:v>
      </x:c>
      <x:c r="F442" s="99" t="str">
        <x:v>鱼肉；鱼</x:v>
      </x:c>
      <x:c r="G442" s="99" t="str">
        <x:v>16. fish /fɪʃ/ 鱼肉；鱼</x:v>
      </x:c>
    </x:row>
    <x:row r="443" ht="18" customHeight="1">
      <x:c r="A443" s="99" t="str">
        <x:v>F</x:v>
      </x:c>
      <x:c r="B443" s="99" t="str">
        <x:v>名词</x:v>
      </x:c>
      <x:c r="C443" s="99" t="n">
        <x:v>17</x:v>
      </x:c>
      <x:c r="D443" s="99" t="str">
        <x:v>floor</x:v>
      </x:c>
      <x:c r="E443" s="99" t="str">
        <x:v>/flɔː/</x:v>
      </x:c>
      <x:c r="F443" s="99" t="str">
        <x:v>地板</x:v>
      </x:c>
      <x:c r="G443" s="99" t="str">
        <x:v>17. floor /flɔː/ 地板</x:v>
      </x:c>
    </x:row>
    <x:row r="444" ht="18" customHeight="1">
      <x:c r="A444" s="99" t="str">
        <x:v>F</x:v>
      </x:c>
      <x:c r="B444" s="99" t="str">
        <x:v>名词</x:v>
      </x:c>
      <x:c r="C444" s="99" t="n">
        <x:v>18</x:v>
      </x:c>
      <x:c r="D444" s="99" t="str">
        <x:v>flower</x:v>
      </x:c>
      <x:c r="E444" s="99" t="str">
        <x:v>/ˈflaʊə/</x:v>
      </x:c>
      <x:c r="F444" s="99" t="str">
        <x:v>花</x:v>
      </x:c>
      <x:c r="G444" s="99" t="str">
        <x:v>18. flower /ˈflaʊə/ 花</x:v>
      </x:c>
    </x:row>
    <x:row r="445" ht="18" customHeight="1">
      <x:c r="A445" s="99" t="str">
        <x:v>F</x:v>
      </x:c>
      <x:c r="B445" s="99" t="str">
        <x:v>名词</x:v>
      </x:c>
      <x:c r="C445" s="99" t="n">
        <x:v>19</x:v>
      </x:c>
      <x:c r="D445" s="99" t="str">
        <x:v>flu</x:v>
      </x:c>
      <x:c r="E445" s="99" t="str">
        <x:v>/fluː/</x:v>
      </x:c>
      <x:c r="F445" s="99" t="str">
        <x:v>流感</x:v>
      </x:c>
      <x:c r="G445" s="99" t="str">
        <x:v>19. flu /fluː/ 流感</x:v>
      </x:c>
    </x:row>
    <x:row r="446" ht="18" customHeight="1">
      <x:c r="A446" s="99" t="str">
        <x:v>F</x:v>
      </x:c>
      <x:c r="B446" s="99" t="str">
        <x:v>名词</x:v>
      </x:c>
      <x:c r="C446" s="99" t="n">
        <x:v>20</x:v>
      </x:c>
      <x:c r="D446" s="99" t="str">
        <x:v>food</x:v>
      </x:c>
      <x:c r="E446" s="99" t="str">
        <x:v>/fuːd/</x:v>
      </x:c>
      <x:c r="F446" s="99" t="str">
        <x:v>食物；食品</x:v>
      </x:c>
      <x:c r="G446" s="99" t="str">
        <x:v>20. food /fuːd/ 食物；食品</x:v>
      </x:c>
    </x:row>
    <x:row r="447" ht="18" customHeight="1">
      <x:c r="A447" s="99" t="str">
        <x:v>F</x:v>
      </x:c>
      <x:c r="B447" s="99" t="str">
        <x:v>名词</x:v>
      </x:c>
      <x:c r="C447" s="99" t="n">
        <x:v>21</x:v>
      </x:c>
      <x:c r="D447" s="99" t="str">
        <x:v>foot</x:v>
      </x:c>
      <x:c r="E447" s="99" t="str">
        <x:v>/fʊt/</x:v>
      </x:c>
      <x:c r="F447" s="99" t="str">
        <x:v>(pl. feet /fiːt/) 脚；足</x:v>
      </x:c>
      <x:c r="G447" s="99" t="str">
        <x:v>21. foot /fʊt/ (pl. feet /fiːt/) 脚；足</x:v>
      </x:c>
    </x:row>
    <x:row r="448" ht="18" customHeight="1">
      <x:c r="A448" s="99" t="str">
        <x:v>F</x:v>
      </x:c>
      <x:c r="B448" s="99" t="str">
        <x:v>名词</x:v>
      </x:c>
      <x:c r="C448" s="99" t="n">
        <x:v>22</x:v>
      </x:c>
      <x:c r="D448" s="99" t="str">
        <x:v>football</x:v>
      </x:c>
      <x:c r="E448" s="99" t="str">
        <x:v>/ˈfʊtbɔːl/</x:v>
      </x:c>
      <x:c r="F448" s="99" t="str">
        <x:v>足球</x:v>
      </x:c>
      <x:c r="G448" s="99" t="str">
        <x:v>22. football /ˈfʊtbɔːl/ 足球</x:v>
      </x:c>
    </x:row>
    <x:row r="449" ht="18" customHeight="1">
      <x:c r="A449" s="99" t="str">
        <x:v>F</x:v>
      </x:c>
      <x:c r="B449" s="99" t="str">
        <x:v>名词</x:v>
      </x:c>
      <x:c r="C449" s="99" t="n">
        <x:v>23</x:v>
      </x:c>
      <x:c r="D449" s="99" t="str">
        <x:v>forest</x:v>
      </x:c>
      <x:c r="E449" s="99" t="str">
        <x:v>/ˈfɒrɪst/</x:v>
      </x:c>
      <x:c r="F449" s="99" t="str">
        <x:v>森林</x:v>
      </x:c>
      <x:c r="G449" s="99" t="str">
        <x:v>23. forest /ˈfɒrɪst/ 森林</x:v>
      </x:c>
    </x:row>
    <x:row r="450" ht="18" customHeight="1">
      <x:c r="A450" s="99" t="str">
        <x:v>F</x:v>
      </x:c>
      <x:c r="B450" s="99" t="str">
        <x:v>名词</x:v>
      </x:c>
      <x:c r="C450" s="99" t="n">
        <x:v>24</x:v>
      </x:c>
      <x:c r="D450" s="99" t="str">
        <x:v>fork</x:v>
      </x:c>
      <x:c r="E450" s="99" t="str">
        <x:v>/fɔːk/</x:v>
      </x:c>
      <x:c r="F450" s="99" t="str">
        <x:v>餐叉</x:v>
      </x:c>
      <x:c r="G450" s="99" t="str">
        <x:v>24. fork /fɔːk/ 餐叉</x:v>
      </x:c>
    </x:row>
    <x:row r="451" ht="18" customHeight="1">
      <x:c r="A451" s="99" t="str">
        <x:v>F</x:v>
      </x:c>
      <x:c r="B451" s="99" t="str">
        <x:v>名词</x:v>
      </x:c>
      <x:c r="C451" s="99" t="n">
        <x:v>25</x:v>
      </x:c>
      <x:c r="D451" s="99" t="str">
        <x:v>form</x:v>
      </x:c>
      <x:c r="E451" s="99" t="str">
        <x:v>/fɔːm/</x:v>
      </x:c>
      <x:c r="F451" s="99" t="str">
        <x:v>表格</x:v>
      </x:c>
      <x:c r="G451" s="99" t="str">
        <x:v>25. form /fɔːm/ 表格</x:v>
      </x:c>
    </x:row>
    <x:row r="452" ht="18" customHeight="1">
      <x:c r="A452" s="99" t="str">
        <x:v>F</x:v>
      </x:c>
      <x:c r="B452" s="99" t="str">
        <x:v>名词</x:v>
      </x:c>
      <x:c r="C452" s="99" t="n">
        <x:v>26</x:v>
      </x:c>
      <x:c r="D452" s="99" t="str">
        <x:v>forward</x:v>
      </x:c>
      <x:c r="E452" s="99" t="str">
        <x:v>/ˈfɔːwəd/</x:v>
      </x:c>
      <x:c r="F452" s="99" t="str">
        <x:v>前锋（此处兼作副词，表“向前”）</x:v>
      </x:c>
      <x:c r="G452" s="99" t="str">
        <x:v>26. forward /ˈfɔːwəd/ 前锋（此处兼作副词，表“向前”）</x:v>
      </x:c>
    </x:row>
    <x:row r="453" ht="18" customHeight="1">
      <x:c r="A453" s="99" t="str">
        <x:v>F</x:v>
      </x:c>
      <x:c r="B453" s="99" t="str">
        <x:v>名词</x:v>
      </x:c>
      <x:c r="C453" s="99" t="n">
        <x:v>27</x:v>
      </x:c>
      <x:c r="D453" s="99" t="str">
        <x:v>fox</x:v>
      </x:c>
      <x:c r="E453" s="99" t="str">
        <x:v>/fɒks/</x:v>
      </x:c>
      <x:c r="F453" s="99" t="str">
        <x:v>狐狸</x:v>
      </x:c>
      <x:c r="G453" s="99" t="str">
        <x:v>27. fox /fɒks/ 狐狸</x:v>
      </x:c>
    </x:row>
    <x:row r="454" ht="18" customHeight="1">
      <x:c r="A454" s="99" t="str">
        <x:v>F</x:v>
      </x:c>
      <x:c r="B454" s="99" t="str">
        <x:v>名词</x:v>
      </x:c>
      <x:c r="C454" s="99" t="n">
        <x:v>28</x:v>
      </x:c>
      <x:c r="D454" s="99" t="str">
        <x:v>France</x:v>
      </x:c>
      <x:c r="E454" s="99" t="str">
        <x:v>/frɑːns/</x:v>
      </x:c>
      <x:c r="F454" s="99" t="str">
        <x:v>法国</x:v>
      </x:c>
      <x:c r="G454" s="99" t="str">
        <x:v>28. France /frɑːns/ 法国</x:v>
      </x:c>
    </x:row>
    <x:row r="455" ht="18" customHeight="1">
      <x:c r="A455" s="99" t="str">
        <x:v>F</x:v>
      </x:c>
      <x:c r="B455" s="99" t="str">
        <x:v>名词</x:v>
      </x:c>
      <x:c r="C455" s="99" t="n">
        <x:v>29</x:v>
      </x:c>
      <x:c r="D455" s="99" t="str">
        <x:v>free</x:v>
      </x:c>
      <x:c r="E455" s="99" t="str">
        <x:v>/friː/</x:v>
      </x:c>
      <x:c r="F455" s="99" t="str">
        <x:v>免费；自由（此处兼作形容词）</x:v>
      </x:c>
      <x:c r="G455" s="99" t="str">
        <x:v>29. free /friː/ 免费；自由（此处兼作形容词）</x:v>
      </x:c>
    </x:row>
    <x:row r="456" ht="18" customHeight="1">
      <x:c r="A456" s="99" t="str">
        <x:v>F</x:v>
      </x:c>
      <x:c r="B456" s="99" t="str">
        <x:v>名词</x:v>
      </x:c>
      <x:c r="C456" s="99" t="n">
        <x:v>30</x:v>
      </x:c>
      <x:c r="D456" s="99" t="str">
        <x:v>Friday</x:v>
      </x:c>
      <x:c r="E456" s="99" t="str">
        <x:v>/ˈfraɪdeɪ/</x:v>
      </x:c>
      <x:c r="F456" s="99" t="str">
        <x:v>星期五</x:v>
      </x:c>
      <x:c r="G456" s="99" t="str">
        <x:v>30. Friday /ˈfraɪdeɪ/ 星期五</x:v>
      </x:c>
    </x:row>
    <x:row r="457" ht="18" customHeight="1">
      <x:c r="A457" s="99" t="str">
        <x:v>F</x:v>
      </x:c>
      <x:c r="B457" s="99" t="str">
        <x:v>名词</x:v>
      </x:c>
      <x:c r="C457" s="99" t="n">
        <x:v>31</x:v>
      </x:c>
      <x:c r="D457" s="99" t="str">
        <x:v>friend</x:v>
      </x:c>
      <x:c r="E457" s="99" t="str">
        <x:v>/frend/</x:v>
      </x:c>
      <x:c r="F457" s="99" t="str">
        <x:v>朋友</x:v>
      </x:c>
      <x:c r="G457" s="99" t="str">
        <x:v>31. friend /frend/ 朋友</x:v>
      </x:c>
    </x:row>
    <x:row r="458" ht="18" customHeight="1">
      <x:c r="A458" s="99" t="str">
        <x:v>F</x:v>
      </x:c>
      <x:c r="B458" s="99" t="str">
        <x:v>名词</x:v>
      </x:c>
      <x:c r="C458" s="99" t="n">
        <x:v>32</x:v>
      </x:c>
      <x:c r="D458" s="99" t="str">
        <x:v>friendship</x:v>
      </x:c>
      <x:c r="E458" s="99" t="str">
        <x:v>/ˈfrendʃɪp/</x:v>
      </x:c>
      <x:c r="F458" s="99" t="str">
        <x:v>友谊；友好</x:v>
      </x:c>
      <x:c r="G458" s="99" t="str">
        <x:v>32. friendship /ˈfrendʃɪp/ 友谊；友好</x:v>
      </x:c>
    </x:row>
    <x:row r="459" ht="18" customHeight="1">
      <x:c r="A459" s="99" t="str">
        <x:v>F</x:v>
      </x:c>
      <x:c r="B459" s="99" t="str">
        <x:v>名词</x:v>
      </x:c>
      <x:c r="C459" s="99" t="n">
        <x:v>33</x:v>
      </x:c>
      <x:c r="D459" s="99" t="str">
        <x:v>fruit</x:v>
      </x:c>
      <x:c r="E459" s="99" t="str">
        <x:v>/fruːt/</x:v>
      </x:c>
      <x:c r="F459" s="99" t="str">
        <x:v>水果</x:v>
      </x:c>
      <x:c r="G459" s="99" t="str">
        <x:v>33. fruit /fruːt/ 水果</x:v>
      </x:c>
    </x:row>
    <x:row r="460" ht="18" customHeight="1">
      <x:c r="A460" s="99" t="str">
        <x:v>F</x:v>
      </x:c>
      <x:c r="B460" s="99" t="str">
        <x:v>名词</x:v>
      </x:c>
      <x:c r="C460" s="99" t="n">
        <x:v>34</x:v>
      </x:c>
      <x:c r="D460" s="99" t="str">
        <x:v>fun</x:v>
      </x:c>
      <x:c r="E460" s="99" t="str">
        <x:v>/fʌn/</x:v>
      </x:c>
      <x:c r="F460" s="99" t="str">
        <x:v>娱乐；乐趣</x:v>
      </x:c>
      <x:c r="G460" s="99" t="str">
        <x:v>34. fun /fʌn/ 娱乐；乐趣</x:v>
      </x:c>
    </x:row>
    <x:row r="461" ht="18" customHeight="1">
      <x:c r="A461" s="99" t="str">
        <x:v>F</x:v>
      </x:c>
      <x:c r="B461" s="99" t="str">
        <x:v>名词</x:v>
      </x:c>
      <x:c r="C461" s="99" t="n">
        <x:v>35</x:v>
      </x:c>
      <x:c r="D461" s="99" t="str">
        <x:v>furniture</x:v>
      </x:c>
      <x:c r="E461" s="99" t="str">
        <x:v>/ˈfɜːnɪtʃə/</x:v>
      </x:c>
      <x:c r="F461" s="99" t="str">
        <x:v>家具（总称）</x:v>
      </x:c>
      <x:c r="G461" s="99" t="str">
        <x:v>35. furniture /ˈfɜːnɪtʃə/ 家具（总称）</x:v>
      </x:c>
    </x:row>
    <x:row r="462" ht="18" customHeight="1">
      <x:c r="A462" s="99" t="str">
        <x:v>F</x:v>
      </x:c>
      <x:c r="B462" s="99" t="str">
        <x:v>名词</x:v>
      </x:c>
      <x:c r="C462" s="99" t="n">
        <x:v>36</x:v>
      </x:c>
      <x:c r="D462" s="99" t="str">
        <x:v>future</x:v>
      </x:c>
      <x:c r="E462" s="99" t="str">
        <x:v>/ˈfjuːtʃə/</x:v>
      </x:c>
      <x:c r="F462" s="99" t="str">
        <x:v>将来；未来</x:v>
      </x:c>
      <x:c r="G462" s="99" t="str">
        <x:v>36. future /ˈfjuːtʃə/ 将来；未来</x:v>
      </x:c>
    </x:row>
    <x:row r="463" ht="18" customHeight="1">
      <x:c r="A463" s="99" t="str">
        <x:v>F</x:v>
      </x:c>
      <x:c r="B463" s="99" t="str">
        <x:v>动词</x:v>
      </x:c>
      <x:c r="C463" s="99" t="n">
        <x:v>1</x:v>
      </x:c>
      <x:c r="D463" s="99" t="str">
        <x:v>fall</x:v>
      </x:c>
      <x:c r="E463" s="99" t="str">
        <x:v>/fɔːl/</x:v>
      </x:c>
      <x:c r="F463" s="99" t="str">
        <x:v>(fell /fel/; fallen /ˈfɔːlən/) 下落；跌落</x:v>
      </x:c>
      <x:c r="G463" s="99" t="str">
        <x:v>1. fall /fɔːl/ (fell /fel/; fallen /ˈfɔːlən/) 下落；跌落</x:v>
      </x:c>
    </x:row>
    <x:row r="464" ht="18" customHeight="1">
      <x:c r="A464" s="99" t="str">
        <x:v>F</x:v>
      </x:c>
      <x:c r="B464" s="99" t="str">
        <x:v>动词</x:v>
      </x:c>
      <x:c r="C464" s="99" t="n">
        <x:v>2</x:v>
      </x:c>
      <x:c r="D464" s="99" t="str">
        <x:v>feed</x:v>
      </x:c>
      <x:c r="E464" s="99" t="str">
        <x:v>/fiːd/</x:v>
      </x:c>
      <x:c r="F464" s="99" t="str">
        <x:v>(fed /fed/; fed) 喂养；饲养</x:v>
      </x:c>
      <x:c r="G464" s="99" t="str">
        <x:v>2. feed /fiːd/ (fed /fed/; fed) 喂养；饲养</x:v>
      </x:c>
    </x:row>
    <x:row r="465" ht="18" customHeight="1">
      <x:c r="A465" s="99" t="str">
        <x:v>F</x:v>
      </x:c>
      <x:c r="B465" s="99" t="str">
        <x:v>动词</x:v>
      </x:c>
      <x:c r="C465" s="99" t="n">
        <x:v>3</x:v>
      </x:c>
      <x:c r="D465" s="99" t="str">
        <x:v>feel</x:v>
      </x:c>
      <x:c r="E465" s="99" t="str">
        <x:v>/fiːl/</x:v>
      </x:c>
      <x:c r="F465" s="99" t="str">
        <x:v>(felt /felt/; felt) 感觉；觉得</x:v>
      </x:c>
      <x:c r="G465" s="99" t="str">
        <x:v>3. feel /fiːl/ (felt /felt/; felt) 感觉；觉得</x:v>
      </x:c>
    </x:row>
    <x:row r="466" ht="18" customHeight="1">
      <x:c r="A466" s="99" t="str">
        <x:v>F</x:v>
      </x:c>
      <x:c r="B466" s="99" t="str">
        <x:v>动词</x:v>
      </x:c>
      <x:c r="C466" s="99" t="n">
        <x:v>4</x:v>
      </x:c>
      <x:c r="D466" s="99" t="str">
        <x:v>fight</x:v>
      </x:c>
      <x:c r="E466" s="99" t="str">
        <x:v>/faɪt/</x:v>
      </x:c>
      <x:c r="F466" s="99" t="str">
        <x:v>(fought /fɔːt/; fought) 与……战斗；斗争</x:v>
      </x:c>
      <x:c r="G466" s="99" t="str">
        <x:v>4. fight /faɪt/ (fought /fɔːt/; fought) 与……战斗；斗争</x:v>
      </x:c>
    </x:row>
    <x:row r="467" ht="18" customHeight="1">
      <x:c r="A467" s="99" t="str">
        <x:v>F</x:v>
      </x:c>
      <x:c r="B467" s="99" t="str">
        <x:v>动词</x:v>
      </x:c>
      <x:c r="C467" s="99" t="n">
        <x:v>5</x:v>
      </x:c>
      <x:c r="D467" s="99" t="str">
        <x:v>fill</x:v>
      </x:c>
      <x:c r="E467" s="99" t="str">
        <x:v>/fɪl/</x:v>
      </x:c>
      <x:c r="F467" s="99" t="str">
        <x:v>填满；填充</x:v>
      </x:c>
      <x:c r="G467" s="99" t="str">
        <x:v>5. fill /fɪl/ 填满；填充</x:v>
      </x:c>
    </x:row>
    <x:row r="468" ht="18" customHeight="1">
      <x:c r="A468" s="99" t="str">
        <x:v>F</x:v>
      </x:c>
      <x:c r="B468" s="99" t="str">
        <x:v>动词</x:v>
      </x:c>
      <x:c r="C468" s="99" t="n">
        <x:v>6</x:v>
      </x:c>
      <x:c r="D468" s="99" t="str">
        <x:v>find</x:v>
      </x:c>
      <x:c r="E468" s="99" t="str">
        <x:v>/faɪnd/</x:v>
      </x:c>
      <x:c r="F468" s="99" t="str">
        <x:v>(found /faʊnd/; found) 发现；找到</x:v>
      </x:c>
      <x:c r="G468" s="99" t="str">
        <x:v>6. find /faɪnd/ (found /faʊnd/; found) 发现；找到</x:v>
      </x:c>
    </x:row>
    <x:row r="469" ht="18" customHeight="1">
      <x:c r="A469" s="99" t="str">
        <x:v>F</x:v>
      </x:c>
      <x:c r="B469" s="99" t="str">
        <x:v>动词</x:v>
      </x:c>
      <x:c r="C469" s="99" t="n">
        <x:v>7</x:v>
      </x:c>
      <x:c r="D469" s="99" t="str">
        <x:v>finish</x:v>
      </x:c>
      <x:c r="E469" s="99" t="str">
        <x:v>/ˈfɪnɪʃ/</x:v>
      </x:c>
      <x:c r="F469" s="99" t="str">
        <x:v>结束；完成；吃完；喝完；用尽</x:v>
      </x:c>
      <x:c r="G469" s="99" t="str">
        <x:v>7. finish /ˈfɪnɪʃ/ 结束；完成；吃完；喝完；用尽</x:v>
      </x:c>
    </x:row>
    <x:row r="470" ht="18" customHeight="1">
      <x:c r="A470" s="99" t="str">
        <x:v>F</x:v>
      </x:c>
      <x:c r="B470" s="99" t="str">
        <x:v>动词</x:v>
      </x:c>
      <x:c r="C470" s="99" t="n">
        <x:v>8</x:v>
      </x:c>
      <x:c r="D470" s="99" t="str">
        <x:v>fit</x:v>
      </x:c>
      <x:c r="E470" s="99" t="str">
        <x:v>/fɪt/</x:v>
      </x:c>
      <x:c r="F470" s="99" t="str">
        <x:v>适合；合身</x:v>
      </x:c>
      <x:c r="G470" s="99" t="str">
        <x:v>8. fit /fɪt/ 适合；合身</x:v>
      </x:c>
    </x:row>
    <x:row r="471" ht="18" customHeight="1">
      <x:c r="A471" s="99" t="str">
        <x:v>F</x:v>
      </x:c>
      <x:c r="B471" s="99" t="str">
        <x:v>动词</x:v>
      </x:c>
      <x:c r="C471" s="99" t="n">
        <x:v>9</x:v>
      </x:c>
      <x:c r="D471" s="99" t="str">
        <x:v>fly</x:v>
      </x:c>
      <x:c r="E471" s="99" t="str">
        <x:v>/flaɪ/</x:v>
      </x:c>
      <x:c r="F471" s="99" t="str">
        <x:v>(flew /fluː/; flown /fləʊn/) 放飞（风筝等）；飞行；乘飞机</x:v>
      </x:c>
      <x:c r="G471" s="99" t="str">
        <x:v>9. fly /flaɪ/ (flew /fluː/; flown /fləʊn/) 放飞（风筝等）；飞行；乘飞机</x:v>
      </x:c>
    </x:row>
    <x:row r="472" ht="18" customHeight="1">
      <x:c r="A472" s="99" t="str">
        <x:v>F</x:v>
      </x:c>
      <x:c r="B472" s="99" t="str">
        <x:v>动词</x:v>
      </x:c>
      <x:c r="C472" s="99" t="n">
        <x:v>10</x:v>
      </x:c>
      <x:c r="D472" s="99" t="str">
        <x:v>follow</x:v>
      </x:c>
      <x:c r="E472" s="99" t="str">
        <x:v>/ˈfɒləʊ/</x:v>
      </x:c>
      <x:c r="F472" s="99" t="str">
        <x:v>跟随；紧跟</x:v>
      </x:c>
      <x:c r="G472" s="99" t="str">
        <x:v>10. follow /ˈfɒləʊ/ 跟随；紧跟</x:v>
      </x:c>
    </x:row>
    <x:row r="473" ht="18" customHeight="1">
      <x:c r="A473" s="99" t="str">
        <x:v>F</x:v>
      </x:c>
      <x:c r="B473" s="99" t="str">
        <x:v>动词</x:v>
      </x:c>
      <x:c r="C473" s="99" t="n">
        <x:v>11</x:v>
      </x:c>
      <x:c r="D473" s="99" t="str">
        <x:v>forget</x:v>
      </x:c>
      <x:c r="E473" s="99" t="str">
        <x:v>/fəˈɡet/</x:v>
      </x:c>
      <x:c r="F473" s="99" t="str">
        <x:v>(forgot /fəˈɡɒt/; forgotten /fəˈɡɒtn/) 忘记</x:v>
      </x:c>
      <x:c r="G473" s="99" t="str">
        <x:v>11. forget /fəˈɡet/ (forgot /fəˈɡɒt/; forgotten /fəˈɡɒtn/) 忘记</x:v>
      </x:c>
    </x:row>
    <x:row r="474" ht="18" customHeight="1">
      <x:c r="A474" s="99" t="str">
        <x:v>F</x:v>
      </x:c>
      <x:c r="B474" s="99" t="str">
        <x:v>动词</x:v>
      </x:c>
      <x:c r="C474" s="99" t="n">
        <x:v>12</x:v>
      </x:c>
      <x:c r="D474" s="99" t="str">
        <x:v>form</x:v>
      </x:c>
      <x:c r="E474" s="99" t="str">
        <x:v>/fɔːm/</x:v>
      </x:c>
      <x:c r="F474" s="99" t="str">
        <x:v>形成</x:v>
      </x:c>
      <x:c r="G474" s="99" t="str">
        <x:v>12. form /fɔːm/ 形成</x:v>
      </x:c>
    </x:row>
    <x:row r="475" ht="18" customHeight="1">
      <x:c r="A475" s="99" t="str">
        <x:v>F</x:v>
      </x:c>
      <x:c r="B475" s="99" t="str">
        <x:v>动词</x:v>
      </x:c>
      <x:c r="C475" s="99" t="n">
        <x:v>13</x:v>
      </x:c>
      <x:c r="D475" s="99" t="str">
        <x:v>forward</x:v>
      </x:c>
      <x:c r="E475" s="99" t="str">
        <x:v>/ˈfɔːwəd/</x:v>
      </x:c>
      <x:c r="F475" s="99" t="str">
        <x:v>促进；发送（此处兼作副词）</x:v>
      </x:c>
      <x:c r="G475" s="99" t="str">
        <x:v>13. forward /ˈfɔːwəd/ 促进；发送（此处兼作副词）</x:v>
      </x:c>
    </x:row>
    <x:row r="476" ht="18" customHeight="1">
      <x:c r="A476" s="99" t="str">
        <x:v>F</x:v>
      </x:c>
      <x:c r="B476" s="99" t="str">
        <x:v>形容词</x:v>
      </x:c>
      <x:c r="C476" s="99" t="n">
        <x:v>1</x:v>
      </x:c>
      <x:c r="D476" s="99" t="str">
        <x:v>fair</x:v>
      </x:c>
      <x:c r="E476" s="99" t="str">
        <x:v>/feə/</x:v>
      </x:c>
      <x:c r="F476" s="99" t="str">
        <x:v>金色的；浅褐色的</x:v>
      </x:c>
      <x:c r="G476" s="99" t="str">
        <x:v>1. fair /feə/ 金色的；浅褐色的</x:v>
      </x:c>
    </x:row>
    <x:row r="477" ht="18" customHeight="1">
      <x:c r="A477" s="99" t="str">
        <x:v>F</x:v>
      </x:c>
      <x:c r="B477" s="99" t="str">
        <x:v>形容词</x:v>
      </x:c>
      <x:c r="C477" s="99" t="n">
        <x:v>2</x:v>
      </x:c>
      <x:c r="D477" s="99" t="str">
        <x:v>famous</x:v>
      </x:c>
      <x:c r="E477" s="99" t="str">
        <x:v>/ˈfeɪməs/</x:v>
      </x:c>
      <x:c r="F477" s="99" t="str">
        <x:v>著名的</x:v>
      </x:c>
      <x:c r="G477" s="99" t="str">
        <x:v>2. famous /ˈfeɪməs/ 著名的</x:v>
      </x:c>
    </x:row>
    <x:row r="478" ht="18" customHeight="1">
      <x:c r="A478" s="99" t="str">
        <x:v>F</x:v>
      </x:c>
      <x:c r="B478" s="99" t="str">
        <x:v>形容词</x:v>
      </x:c>
      <x:c r="C478" s="99" t="n">
        <x:v>3</x:v>
      </x:c>
      <x:c r="D478" s="99" t="str">
        <x:v>fantastic</x:v>
      </x:c>
      <x:c r="E478" s="99" t="str">
        <x:v>/fænˈtæstɪk/</x:v>
      </x:c>
      <x:c r="F478" s="99" t="str">
        <x:v>极好的</x:v>
      </x:c>
      <x:c r="G478" s="99" t="str">
        <x:v>3. fantastic /fænˈtæstɪk/ 极好的</x:v>
      </x:c>
    </x:row>
    <x:row r="479" ht="18" customHeight="1">
      <x:c r="A479" s="99" t="str">
        <x:v>F</x:v>
      </x:c>
      <x:c r="B479" s="99" t="str">
        <x:v>形容词</x:v>
      </x:c>
      <x:c r="C479" s="99" t="n">
        <x:v>4</x:v>
      </x:c>
      <x:c r="D479" s="99" t="str">
        <x:v>far</x:v>
      </x:c>
      <x:c r="E479" s="99" t="str">
        <x:v>/fɑː/</x:v>
      </x:c>
      <x:c r="F479" s="99" t="str">
        <x:v>远的；遥远的</x:v>
      </x:c>
      <x:c r="G479" s="99" t="str">
        <x:v>4. far /fɑː/ 远的；遥远的</x:v>
      </x:c>
    </x:row>
    <x:row r="480" ht="18" customHeight="1">
      <x:c r="A480" s="99" t="str">
        <x:v>F</x:v>
      </x:c>
      <x:c r="B480" s="99" t="str">
        <x:v>形容词</x:v>
      </x:c>
      <x:c r="C480" s="99" t="n">
        <x:v>5</x:v>
      </x:c>
      <x:c r="D480" s="99" t="str">
        <x:v>fat</x:v>
      </x:c>
      <x:c r="E480" s="99" t="str">
        <x:v>/fæt/</x:v>
      </x:c>
      <x:c r="F480" s="99" t="str">
        <x:v>肥胖的</x:v>
      </x:c>
      <x:c r="G480" s="99" t="str">
        <x:v>5. fat /fæt/ 肥胖的</x:v>
      </x:c>
    </x:row>
    <x:row r="481" ht="18" customHeight="1">
      <x:c r="A481" s="99" t="str">
        <x:v>F</x:v>
      </x:c>
      <x:c r="B481" s="99" t="str">
        <x:v>形容词</x:v>
      </x:c>
      <x:c r="C481" s="99" t="n">
        <x:v>6</x:v>
      </x:c>
      <x:c r="D481" s="99" t="str">
        <x:v>favourite</x:v>
      </x:c>
      <x:c r="E481" s="99" t="str">
        <x:v>/ˈfeɪvərɪt/</x:v>
      </x:c>
      <x:c r="F481" s="99" t="str">
        <x:v>最喜欢的；最喜爱的</x:v>
      </x:c>
      <x:c r="G481" s="99" t="str">
        <x:v>6. favourite /ˈfeɪvərɪt/ 最喜欢的；最喜爱的</x:v>
      </x:c>
    </x:row>
    <x:row r="482" ht="18" customHeight="1">
      <x:c r="A482" s="99" t="str">
        <x:v>F</x:v>
      </x:c>
      <x:c r="B482" s="99" t="str">
        <x:v>形容词</x:v>
      </x:c>
      <x:c r="C482" s="99" t="n">
        <x:v>7</x:v>
      </x:c>
      <x:c r="D482" s="99" t="str">
        <x:v>fast</x:v>
      </x:c>
      <x:c r="E482" s="99" t="str">
        <x:v>/fɑːst/</x:v>
      </x:c>
      <x:c r="F482" s="99" t="str">
        <x:v>快的；快速的</x:v>
      </x:c>
      <x:c r="G482" s="99" t="str">
        <x:v>7. fast /fɑːst/ 快的；快速的</x:v>
      </x:c>
    </x:row>
    <x:row r="483" ht="18" customHeight="1">
      <x:c r="A483" s="99" t="str">
        <x:v>F</x:v>
      </x:c>
      <x:c r="B483" s="99" t="str">
        <x:v>形容词</x:v>
      </x:c>
      <x:c r="C483" s="99" t="n">
        <x:v>8</x:v>
      </x:c>
      <x:c r="D483" s="99" t="str">
        <x:v>fat</x:v>
      </x:c>
      <x:c r="E483" s="99" t="str">
        <x:v>/fæt/</x:v>
      </x:c>
      <x:c r="F483" s="99" t="str">
        <x:v>胖的</x:v>
      </x:c>
      <x:c r="G483" s="99" t="str">
        <x:v>8. fat /fæt/ 胖的</x:v>
      </x:c>
    </x:row>
    <x:row r="484" ht="18" customHeight="1">
      <x:c r="A484" s="99" t="str">
        <x:v>F</x:v>
      </x:c>
      <x:c r="B484" s="99" t="str">
        <x:v>形容词</x:v>
      </x:c>
      <x:c r="C484" s="99" t="n">
        <x:v>9</x:v>
      </x:c>
      <x:c r="D484" s="99" t="str">
        <x:v>favourite</x:v>
      </x:c>
      <x:c r="E484" s="99" t="str">
        <x:v>/ˈfeɪvərɪt/</x:v>
      </x:c>
      <x:c r="F484" s="99" t="str">
        <x:v>最喜欢的</x:v>
      </x:c>
      <x:c r="G484" s="99" t="str">
        <x:v>9. favourite /ˈfeɪvərɪt/ 最喜欢的</x:v>
      </x:c>
    </x:row>
    <x:row r="485" ht="18" customHeight="1">
      <x:c r="A485" s="99" t="str">
        <x:v>F</x:v>
      </x:c>
      <x:c r="B485" s="99" t="str">
        <x:v>形容词</x:v>
      </x:c>
      <x:c r="C485" s="99" t="n">
        <x:v>10</x:v>
      </x:c>
      <x:c r="D485" s="99" t="str">
        <x:v>fine</x:v>
      </x:c>
      <x:c r="E485" s="99" t="str">
        <x:v>/faɪn/</x:v>
      </x:c>
      <x:c r="F485" s="99" t="str">
        <x:v>很好的；不错的</x:v>
      </x:c>
      <x:c r="G485" s="99" t="str">
        <x:v>10. fine /faɪn/ 很好的；不错的</x:v>
      </x:c>
    </x:row>
    <x:row r="486" ht="18" customHeight="1">
      <x:c r="A486" s="99" t="str">
        <x:v>F</x:v>
      </x:c>
      <x:c r="B486" s="99" t="str">
        <x:v>形容词</x:v>
      </x:c>
      <x:c r="C486" s="99" t="n">
        <x:v>11</x:v>
      </x:c>
      <x:c r="D486" s="99" t="str">
        <x:v>first</x:v>
      </x:c>
      <x:c r="E486" s="99" t="str">
        <x:v>/fɜːst/</x:v>
      </x:c>
      <x:c r="F486" s="99" t="str">
        <x:v>第一（位）的；首要的</x:v>
      </x:c>
      <x:c r="G486" s="99" t="str">
        <x:v>11. first /fɜːst/ 第一（位）的；首要的</x:v>
      </x:c>
    </x:row>
    <x:row r="487" ht="18" customHeight="1">
      <x:c r="A487" s="99" t="str">
        <x:v>F</x:v>
      </x:c>
      <x:c r="B487" s="99" t="str">
        <x:v>形容词</x:v>
      </x:c>
      <x:c r="C487" s="99" t="n">
        <x:v>12</x:v>
      </x:c>
      <x:c r="D487" s="99" t="str">
        <x:v>fit</x:v>
      </x:c>
      <x:c r="E487" s="99" t="str">
        <x:v>/fɪt/</x:v>
      </x:c>
      <x:c r="F487" s="99" t="str">
        <x:v>健康的；强健的</x:v>
      </x:c>
      <x:c r="G487" s="99" t="str">
        <x:v>12. fit /fɪt/ 健康的；强健的</x:v>
      </x:c>
    </x:row>
    <x:row r="488" ht="18" customHeight="1">
      <x:c r="A488" s="99" t="str">
        <x:v>F</x:v>
      </x:c>
      <x:c r="B488" s="99" t="str">
        <x:v>形容词</x:v>
      </x:c>
      <x:c r="C488" s="99" t="n">
        <x:v>13</x:v>
      </x:c>
      <x:c r="D488" s="99" t="str">
        <x:v>foreign</x:v>
      </x:c>
      <x:c r="E488" s="99" t="str">
        <x:v>/ˈfɒrɪn/</x:v>
      </x:c>
      <x:c r="F488" s="99" t="str">
        <x:v>外国的</x:v>
      </x:c>
      <x:c r="G488" s="99" t="str">
        <x:v>13. foreign /ˈfɒrɪn/ 外国的</x:v>
      </x:c>
    </x:row>
    <x:row r="489" ht="18" customHeight="1">
      <x:c r="A489" s="99" t="str">
        <x:v>F</x:v>
      </x:c>
      <x:c r="B489" s="99" t="str">
        <x:v>形容词</x:v>
      </x:c>
      <x:c r="C489" s="99" t="n">
        <x:v>14</x:v>
      </x:c>
      <x:c r="D489" s="99" t="str">
        <x:v>free</x:v>
      </x:c>
      <x:c r="E489" s="99" t="str">
        <x:v>/friː/</x:v>
      </x:c>
      <x:c r="F489" s="99" t="str">
        <x:v>（时间）空闲的；空余的；免费的</x:v>
      </x:c>
      <x:c r="G489" s="99" t="str">
        <x:v>14. free /friː/ （时间）空闲的；空余的；免费的</x:v>
      </x:c>
    </x:row>
    <x:row r="490" ht="18" customHeight="1">
      <x:c r="A490" s="99" t="str">
        <x:v>F</x:v>
      </x:c>
      <x:c r="B490" s="99" t="str">
        <x:v>形容词</x:v>
      </x:c>
      <x:c r="C490" s="99" t="n">
        <x:v>15</x:v>
      </x:c>
      <x:c r="D490" s="99" t="str">
        <x:v>French</x:v>
      </x:c>
      <x:c r="E490" s="99" t="str">
        <x:v>/frentʃ/</x:v>
      </x:c>
      <x:c r="F490" s="99" t="str">
        <x:v>法国的；法语的</x:v>
      </x:c>
      <x:c r="G490" s="99" t="str">
        <x:v>15. French /frentʃ/ 法国的；法语的</x:v>
      </x:c>
    </x:row>
    <x:row r="491" ht="18" customHeight="1">
      <x:c r="A491" s="99" t="str">
        <x:v>F</x:v>
      </x:c>
      <x:c r="B491" s="99" t="str">
        <x:v>形容词</x:v>
      </x:c>
      <x:c r="C491" s="99" t="n">
        <x:v>16</x:v>
      </x:c>
      <x:c r="D491" s="99" t="str">
        <x:v>fresh</x:v>
      </x:c>
      <x:c r="E491" s="99" t="str">
        <x:v>/freʃ/</x:v>
      </x:c>
      <x:c r="F491" s="99" t="str">
        <x:v>新鲜的</x:v>
      </x:c>
      <x:c r="G491" s="99" t="str">
        <x:v>16. fresh /freʃ/ 新鲜的</x:v>
      </x:c>
    </x:row>
    <x:row r="492" ht="18" customHeight="1">
      <x:c r="A492" s="99" t="str">
        <x:v>F</x:v>
      </x:c>
      <x:c r="B492" s="99" t="str">
        <x:v>形容词</x:v>
      </x:c>
      <x:c r="C492" s="99" t="n">
        <x:v>17</x:v>
      </x:c>
      <x:c r="D492" s="99" t="str">
        <x:v>friendly</x:v>
      </x:c>
      <x:c r="E492" s="99" t="str">
        <x:v>/ˈfrendli/</x:v>
      </x:c>
      <x:c r="F492" s="99" t="str">
        <x:v>友好的</x:v>
      </x:c>
      <x:c r="G492" s="99" t="str">
        <x:v>17. friendly /ˈfrendli/ 友好的</x:v>
      </x:c>
    </x:row>
    <x:row r="493" ht="18" customHeight="1">
      <x:c r="A493" s="99" t="str">
        <x:v>F</x:v>
      </x:c>
      <x:c r="B493" s="99" t="str">
        <x:v>形容词</x:v>
      </x:c>
      <x:c r="C493" s="99" t="n">
        <x:v>18</x:v>
      </x:c>
      <x:c r="D493" s="99" t="str">
        <x:v>front</x:v>
      </x:c>
      <x:c r="E493" s="99" t="str">
        <x:v>/frʌnt/</x:v>
      </x:c>
      <x:c r="F493" s="99" t="str">
        <x:v>前面的；正面的</x:v>
      </x:c>
      <x:c r="G493" s="99" t="str">
        <x:v>18. front /frʌnt/ 前面的；正面的</x:v>
      </x:c>
    </x:row>
    <x:row r="494" ht="18" customHeight="1">
      <x:c r="A494" s="99" t="str">
        <x:v>F</x:v>
      </x:c>
      <x:c r="B494" s="99" t="str">
        <x:v>形容词</x:v>
      </x:c>
      <x:c r="C494" s="99" t="n">
        <x:v>19</x:v>
      </x:c>
      <x:c r="D494" s="99" t="str">
        <x:v>full</x:v>
      </x:c>
      <x:c r="E494" s="99" t="str">
        <x:v>/fʊl/</x:v>
      </x:c>
      <x:c r="F494" s="99" t="str">
        <x:v>满的；充满的</x:v>
      </x:c>
      <x:c r="G494" s="99" t="str">
        <x:v>19. full /fʊl/ 满的；充满的</x:v>
      </x:c>
    </x:row>
    <x:row r="495" ht="18" customHeight="1">
      <x:c r="A495" s="99" t="str">
        <x:v>F</x:v>
      </x:c>
      <x:c r="B495" s="99" t="str">
        <x:v>形容词</x:v>
      </x:c>
      <x:c r="C495" s="99" t="n">
        <x:v>20</x:v>
      </x:c>
      <x:c r="D495" s="99" t="str">
        <x:v>funny</x:v>
      </x:c>
      <x:c r="E495" s="99" t="str">
        <x:v>/ˈfʌni/</x:v>
      </x:c>
      <x:c r="F495" s="99" t="str">
        <x:v>有趣的</x:v>
      </x:c>
      <x:c r="G495" s="99" t="str">
        <x:v>20. funny /ˈfʌni/ 有趣的</x:v>
      </x:c>
    </x:row>
    <x:row r="496" ht="18" customHeight="1">
      <x:c r="A496" s="99" t="str">
        <x:v>F</x:v>
      </x:c>
      <x:c r="B496" s="99" t="str">
        <x:v>副词</x:v>
      </x:c>
      <x:c r="C496" s="99" t="n">
        <x:v>1</x:v>
      </x:c>
      <x:c r="D496" s="99" t="str">
        <x:v>far</x:v>
      </x:c>
      <x:c r="E496" s="99" t="str">
        <x:v>/fɑː/</x:v>
      </x:c>
      <x:c r="F496" s="99" t="str">
        <x:v>远；遥远</x:v>
      </x:c>
      <x:c r="G496" s="99" t="str">
        <x:v>1. far /fɑː/ 远；遥远</x:v>
      </x:c>
    </x:row>
    <x:row r="497" ht="18" customHeight="1">
      <x:c r="A497" s="99" t="str">
        <x:v>F</x:v>
      </x:c>
      <x:c r="B497" s="99" t="str">
        <x:v>副词</x:v>
      </x:c>
      <x:c r="C497" s="99" t="n">
        <x:v>2</x:v>
      </x:c>
      <x:c r="D497" s="99" t="str">
        <x:v>fast</x:v>
      </x:c>
      <x:c r="E497" s="99" t="str">
        <x:v>/fɑːst/</x:v>
      </x:c>
      <x:c r="F497" s="99" t="str">
        <x:v>快地；快速地</x:v>
      </x:c>
      <x:c r="G497" s="99" t="str">
        <x:v>2. fast /fɑːst/ 快地；快速地</x:v>
      </x:c>
    </x:row>
    <x:row r="498" ht="18" customHeight="1">
      <x:c r="A498" s="99" t="str">
        <x:v>F</x:v>
      </x:c>
      <x:c r="B498" s="99" t="str">
        <x:v>副词</x:v>
      </x:c>
      <x:c r="C498" s="99" t="n">
        <x:v>3</x:v>
      </x:c>
      <x:c r="D498" s="99" t="str">
        <x:v>first</x:v>
      </x:c>
      <x:c r="E498" s="99" t="str">
        <x:v>/fɜːst/</x:v>
      </x:c>
      <x:c r="F498" s="99" t="str">
        <x:v>先；首先</x:v>
      </x:c>
      <x:c r="G498" s="99" t="str">
        <x:v>3. first /fɜːst/ 先；首先</x:v>
      </x:c>
    </x:row>
    <x:row r="499" ht="18" customHeight="1">
      <x:c r="A499" s="99" t="str">
        <x:v>F</x:v>
      </x:c>
      <x:c r="B499" s="99" t="str">
        <x:v>副词</x:v>
      </x:c>
      <x:c r="C499" s="99" t="n">
        <x:v>4</x:v>
      </x:c>
      <x:c r="D499" s="99" t="str">
        <x:v>forward</x:v>
      </x:c>
      <x:c r="E499" s="99" t="str">
        <x:v>/ˈfɔːwəd/</x:v>
      </x:c>
      <x:c r="F499" s="99" t="str">
        <x:v>面向未来的；向前（此处兼作形容词/动词）</x:v>
      </x:c>
      <x:c r="G499" s="99" t="str">
        <x:v>4. forward /ˈfɔːwəd/ 面向未来的；向前（此处兼作形容词/动词）</x:v>
      </x:c>
    </x:row>
    <x:row r="500" ht="18" customHeight="1">
      <x:c r="A500" s="99" t="str">
        <x:v>F</x:v>
      </x:c>
      <x:c r="B500" s="99" t="str">
        <x:v>介词</x:v>
      </x:c>
      <x:c r="C500" s="99" t="n">
        <x:v>1</x:v>
      </x:c>
      <x:c r="D500" s="99" t="str">
        <x:v>for</x:v>
      </x:c>
      <x:c r="E500" s="99" t="str">
        <x:v>/fɔː/</x:v>
      </x:c>
      <x:c r="F500" s="99" t="str">
        <x:v>为；为了；给；对</x:v>
      </x:c>
      <x:c r="G500" s="99" t="str">
        <x:v>1. for /fɔː/ 为；为了；给；对</x:v>
      </x:c>
    </x:row>
    <x:row r="501" ht="18" customHeight="1">
      <x:c r="A501" s="99" t="str">
        <x:v>F</x:v>
      </x:c>
      <x:c r="B501" s="99" t="str">
        <x:v>介词</x:v>
      </x:c>
      <x:c r="C501" s="99" t="n">
        <x:v>2</x:v>
      </x:c>
      <x:c r="D501" s="99" t="str">
        <x:v>from</x:v>
      </x:c>
      <x:c r="E501" s="99" t="str">
        <x:v>/frəm/</x:v>
      </x:c>
      <x:c r="F501" s="99" t="str">
        <x:v>从……来；来自；从……（出发）</x:v>
      </x:c>
      <x:c r="G501" s="99" t="str">
        <x:v>2. from /frəm/ 从……来；来自；从……（出发）</x:v>
      </x:c>
    </x:row>
    <x:row r="502" ht="18" customHeight="1">
      <x:c r="A502" s="99" t="str">
        <x:v>F</x:v>
      </x:c>
      <x:c r="B502" s="99" t="str">
        <x:v>数词</x:v>
      </x:c>
      <x:c r="C502" s="99" t="n">
        <x:v>1</x:v>
      </x:c>
      <x:c r="D502" s="99" t="str">
        <x:v>fifteen</x:v>
      </x:c>
      <x:c r="E502" s="99" t="str">
        <x:v>/ˌfɪfˈtiːn/</x:v>
      </x:c>
      <x:c r="F502" s="99" t="str">
        <x:v>十五</x:v>
      </x:c>
      <x:c r="G502" s="99" t="str">
        <x:v>1. fifteen /ˌfɪfˈtiːn/ 十五</x:v>
      </x:c>
    </x:row>
    <x:row r="503" ht="18" customHeight="1">
      <x:c r="A503" s="99" t="str">
        <x:v>F</x:v>
      </x:c>
      <x:c r="B503" s="99" t="str">
        <x:v>数词</x:v>
      </x:c>
      <x:c r="C503" s="99" t="n">
        <x:v>2</x:v>
      </x:c>
      <x:c r="D503" s="99" t="str">
        <x:v>fifty</x:v>
      </x:c>
      <x:c r="E503" s="99" t="str">
        <x:v>/ˈfɪfti/</x:v>
      </x:c>
      <x:c r="F503" s="99" t="str">
        <x:v>五十</x:v>
      </x:c>
      <x:c r="G503" s="99" t="str">
        <x:v>2. fifty /ˈfɪfti/ 五十</x:v>
      </x:c>
    </x:row>
    <x:row r="504" ht="18" customHeight="1">
      <x:c r="A504" s="99" t="str">
        <x:v>F</x:v>
      </x:c>
      <x:c r="B504" s="99" t="str">
        <x:v>数词</x:v>
      </x:c>
      <x:c r="C504" s="99" t="n">
        <x:v>3</x:v>
      </x:c>
      <x:c r="D504" s="99" t="str">
        <x:v>fifth</x:v>
      </x:c>
      <x:c r="E504" s="99" t="str">
        <x:v>/fɪfθ/</x:v>
      </x:c>
      <x:c r="F504" s="99" t="str">
        <x:v>第五；五分之一</x:v>
      </x:c>
      <x:c r="G504" s="99" t="str">
        <x:v>3. fifth /fɪfθ/ 第五；五分之一</x:v>
      </x:c>
    </x:row>
    <x:row r="505" ht="18" customHeight="1">
      <x:c r="A505" s="99" t="str">
        <x:v>F</x:v>
      </x:c>
      <x:c r="B505" s="99" t="str">
        <x:v>数词</x:v>
      </x:c>
      <x:c r="C505" s="99" t="n">
        <x:v>4</x:v>
      </x:c>
      <x:c r="D505" s="99" t="str">
        <x:v>four</x:v>
      </x:c>
      <x:c r="E505" s="99" t="str">
        <x:v>/fɔː/</x:v>
      </x:c>
      <x:c r="F505" s="99" t="str">
        <x:v>四</x:v>
      </x:c>
      <x:c r="G505" s="99" t="str">
        <x:v>4. four /fɔː/ 四</x:v>
      </x:c>
    </x:row>
    <x:row r="506" ht="18" customHeight="1">
      <x:c r="A506" s="99" t="str">
        <x:v>F</x:v>
      </x:c>
      <x:c r="B506" s="99" t="str">
        <x:v>数词</x:v>
      </x:c>
      <x:c r="C506" s="99" t="n">
        <x:v>5</x:v>
      </x:c>
      <x:c r="D506" s="99" t="str">
        <x:v>fourteen</x:v>
      </x:c>
      <x:c r="E506" s="99" t="str">
        <x:v>/ˌfɔːˈtiːn/</x:v>
      </x:c>
      <x:c r="F506" s="99" t="str">
        <x:v>十四</x:v>
      </x:c>
      <x:c r="G506" s="99" t="str">
        <x:v>5. fourteen /ˌfɔːˈtiːn/ 十四</x:v>
      </x:c>
    </x:row>
    <x:row r="507" ht="18" customHeight="1">
      <x:c r="A507" s="99" t="str">
        <x:v>F</x:v>
      </x:c>
      <x:c r="B507" s="99" t="str">
        <x:v>数词</x:v>
      </x:c>
      <x:c r="C507" s="99" t="n">
        <x:v>6</x:v>
      </x:c>
      <x:c r="D507" s="99" t="str">
        <x:v>forty</x:v>
      </x:c>
      <x:c r="E507" s="99" t="str">
        <x:v>/ˈfɔːti/</x:v>
      </x:c>
      <x:c r="F507" s="99" t="str">
        <x:v>四十</x:v>
      </x:c>
      <x:c r="G507" s="99" t="str">
        <x:v>6. forty /ˈfɔːti/ 四十</x:v>
      </x:c>
    </x:row>
    <x:row r="508" ht="18" customHeight="1">
      <x:c r="A508" s="99" t="str">
        <x:v>F</x:v>
      </x:c>
      <x:c r="B508" s="99" t="str">
        <x:v>代词</x:v>
      </x:c>
      <x:c r="C508" s="99" t="str"/>
      <x:c r="D508" s="99" t="str">
        <x:v>无纯代词</x:v>
      </x:c>
      <x:c r="E508" s="99" t="str"/>
      <x:c r="F508" s="99" t="str"/>
      <x:c r="G508" s="99" t="str">
        <x:v>无纯代词</x:v>
      </x:c>
    </x:row>
    <x:row r="509" ht="18" customHeight="1">
      <x:c r="A509" s="99" t="str">
        <x:v>F</x:v>
      </x:c>
      <x:c r="B509" s="99" t="str">
        <x:v>短语</x:v>
      </x:c>
      <x:c r="C509" s="99" t="n">
        <x:v>1</x:v>
      </x:c>
      <x:c r="D509" s="99" t="str">
        <x:v>a</x:v>
      </x:c>
      <x:c r="E509" s="99" t="str"/>
      <x:c r="F509" s="99" t="str">
        <x:v>few 一些；几个</x:v>
      </x:c>
      <x:c r="G509" s="99" t="str">
        <x:v>1. a few 一些；几个</x:v>
      </x:c>
    </x:row>
    <x:row r="510" ht="18" customHeight="1">
      <x:c r="A510" s="99" t="str">
        <x:v>F</x:v>
      </x:c>
      <x:c r="B510" s="99" t="str">
        <x:v>短语</x:v>
      </x:c>
      <x:c r="C510" s="99" t="n">
        <x:v>2</x:v>
      </x:c>
      <x:c r="D510" s="99" t="str">
        <x:v>at</x:v>
      </x:c>
      <x:c r="E510" s="99" t="str"/>
      <x:c r="F510" s="99" t="str">
        <x:v>first 起初；首先</x:v>
      </x:c>
      <x:c r="G510" s="99" t="str">
        <x:v>2. at first 起初；首先</x:v>
      </x:c>
    </x:row>
    <x:row r="511" ht="18" customHeight="1">
      <x:c r="A511" s="99" t="str">
        <x:v>F</x:v>
      </x:c>
      <x:c r="B511" s="99" t="str">
        <x:v>短语</x:v>
      </x:c>
      <x:c r="C511" s="99" t="n">
        <x:v>3</x:v>
      </x:c>
      <x:c r="D511" s="99" t="str">
        <x:v>far</x:v>
      </x:c>
      <x:c r="E511" s="99" t="str"/>
      <x:c r="F511" s="99" t="str">
        <x:v>from 远离</x:v>
      </x:c>
      <x:c r="G511" s="99" t="str">
        <x:v>3. far from 远离</x:v>
      </x:c>
    </x:row>
    <x:row r="512" ht="18" customHeight="1">
      <x:c r="A512" s="99" t="str">
        <x:v>F</x:v>
      </x:c>
      <x:c r="B512" s="99" t="str">
        <x:v>短语</x:v>
      </x:c>
      <x:c r="C512" s="99" t="n">
        <x:v>4</x:v>
      </x:c>
      <x:c r="D512" s="99" t="str">
        <x:v>fall</x:v>
      </x:c>
      <x:c r="E512" s="99" t="str"/>
      <x:c r="F512" s="99" t="str">
        <x:v>off 从……跌落</x:v>
      </x:c>
      <x:c r="G512" s="99" t="str">
        <x:v>4. fall off 从……跌落</x:v>
      </x:c>
    </x:row>
    <x:row r="513" ht="18" customHeight="1">
      <x:c r="A513" s="99" t="str">
        <x:v>F</x:v>
      </x:c>
      <x:c r="B513" s="99" t="str">
        <x:v>短语</x:v>
      </x:c>
      <x:c r="C513" s="99" t="n">
        <x:v>5</x:v>
      </x:c>
      <x:c r="D513" s="99" t="str">
        <x:v>fan</x:v>
      </x:c>
      <x:c r="E513" s="99" t="str"/>
      <x:c r="F513" s="99" t="str">
        <x:v>club 球迷（或影迷、歌迷）俱乐部</x:v>
      </x:c>
      <x:c r="G513" s="99" t="str">
        <x:v>5. fan club 球迷（或影迷、歌迷）俱乐部</x:v>
      </x:c>
    </x:row>
    <x:row r="514" ht="18" customHeight="1">
      <x:c r="A514" s="99" t="str">
        <x:v>F</x:v>
      </x:c>
      <x:c r="B514" s="99" t="str">
        <x:v>短语</x:v>
      </x:c>
      <x:c r="C514" s="99" t="n">
        <x:v>6</x:v>
      </x:c>
      <x:c r="D514" s="99" t="str">
        <x:v>fast</x:v>
      </x:c>
      <x:c r="E514" s="99" t="str"/>
      <x:c r="F514" s="99" t="str">
        <x:v>food 快餐食品</x:v>
      </x:c>
      <x:c r="G514" s="99" t="str">
        <x:v>6. fast food 快餐食品</x:v>
      </x:c>
    </x:row>
    <x:row r="515" ht="18" customHeight="1">
      <x:c r="A515" s="99" t="str">
        <x:v>F</x:v>
      </x:c>
      <x:c r="B515" s="99" t="str">
        <x:v>短语</x:v>
      </x:c>
      <x:c r="C515" s="99" t="n">
        <x:v>7</x:v>
      </x:c>
      <x:c r="D515" s="99" t="str">
        <x:v>feed</x:v>
      </x:c>
      <x:c r="E515" s="99" t="str"/>
      <x:c r="F515" s="99" t="str">
        <x:v>on 以……为食</x:v>
      </x:c>
      <x:c r="G515" s="99" t="str">
        <x:v>7. feed on 以……为食</x:v>
      </x:c>
    </x:row>
    <x:row r="516" ht="18" customHeight="1">
      <x:c r="A516" s="99" t="str">
        <x:v>F</x:v>
      </x:c>
      <x:c r="B516" s="99" t="str">
        <x:v>短语</x:v>
      </x:c>
      <x:c r="C516" s="99" t="n">
        <x:v>8</x:v>
      </x:c>
      <x:c r="D516" s="99" t="str">
        <x:v>fill</x:v>
      </x:c>
      <x:c r="E516" s="99" t="str"/>
      <x:c r="F516" s="99" t="str">
        <x:v>out 填写；填充</x:v>
      </x:c>
      <x:c r="G516" s="99" t="str">
        <x:v>8. fill out 填写；填充</x:v>
      </x:c>
    </x:row>
    <x:row r="517" ht="18" customHeight="1">
      <x:c r="A517" s="99" t="str">
        <x:v>F</x:v>
      </x:c>
      <x:c r="B517" s="99" t="str">
        <x:v>短语</x:v>
      </x:c>
      <x:c r="C517" s="99" t="n">
        <x:v>9</x:v>
      </x:c>
      <x:c r="D517" s="99" t="str">
        <x:v>find</x:v>
      </x:c>
      <x:c r="E517" s="99" t="str"/>
      <x:c r="F517" s="99" t="str">
        <x:v>out 发现；查明；弄清</x:v>
      </x:c>
      <x:c r="G517" s="99" t="str">
        <x:v>9. find out 发现；查明；弄清</x:v>
      </x:c>
    </x:row>
    <x:row r="518" ht="18" customHeight="1">
      <x:c r="A518" s="99" t="str">
        <x:v>F</x:v>
      </x:c>
      <x:c r="B518" s="99" t="str">
        <x:v>短语</x:v>
      </x:c>
      <x:c r="C518" s="99" t="n">
        <x:v>10</x:v>
      </x:c>
      <x:c r="D518" s="99" t="str">
        <x:v>first</x:v>
      </x:c>
      <x:c r="E518" s="99" t="str"/>
      <x:c r="F518" s="99" t="str">
        <x:v>name 名字</x:v>
      </x:c>
      <x:c r="G518" s="99" t="str">
        <x:v>10. first name 名字</x:v>
      </x:c>
    </x:row>
    <x:row r="519" ht="18" customHeight="1">
      <x:c r="A519" s="99" t="str">
        <x:v>F</x:v>
      </x:c>
      <x:c r="B519" s="99" t="str">
        <x:v>短语</x:v>
      </x:c>
      <x:c r="C519" s="99" t="n">
        <x:v>11</x:v>
      </x:c>
      <x:c r="D519" s="99" t="str">
        <x:v>first</x:v>
      </x:c>
      <x:c r="E519" s="99" t="str"/>
      <x:c r="F519" s="99" t="str">
        <x:v>of all 首先；第一</x:v>
      </x:c>
      <x:c r="G519" s="99" t="str">
        <x:v>11. first of all 首先；第一</x:v>
      </x:c>
    </x:row>
    <x:row r="520" ht="18" customHeight="1">
      <x:c r="A520" s="99" t="str">
        <x:v>F</x:v>
      </x:c>
      <x:c r="B520" s="99" t="str">
        <x:v>短语</x:v>
      </x:c>
      <x:c r="C520" s="99" t="n">
        <x:v>12</x:v>
      </x:c>
      <x:c r="D520" s="99" t="str">
        <x:v>for</x:v>
      </x:c>
      <x:c r="E520" s="99" t="str"/>
      <x:c r="F520" s="99" t="str">
        <x:v>example 例如</x:v>
      </x:c>
      <x:c r="G520" s="99" t="str">
        <x:v>12. for example 例如</x:v>
      </x:c>
    </x:row>
    <x:row r="521" ht="18" customHeight="1">
      <x:c r="A521" s="99" t="str">
        <x:v>F</x:v>
      </x:c>
      <x:c r="B521" s="99" t="str">
        <x:v>短语</x:v>
      </x:c>
      <x:c r="C521" s="99" t="n">
        <x:v>13</x:v>
      </x:c>
      <x:c r="D521" s="99" t="str">
        <x:v>for</x:v>
      </x:c>
      <x:c r="E521" s="99" t="str"/>
      <x:c r="F521" s="99" t="str">
        <x:v>the first time 首次；初次</x:v>
      </x:c>
      <x:c r="G521" s="99" t="str">
        <x:v>13. for the first time 首次；初次</x:v>
      </x:c>
    </x:row>
    <x:row r="522" ht="18" customHeight="1">
      <x:c r="A522" s="99" t="str">
        <x:v>F</x:v>
      </x:c>
      <x:c r="B522" s="99" t="str">
        <x:v>短语</x:v>
      </x:c>
      <x:c r="C522" s="99" t="n">
        <x:v>14</x:v>
      </x:c>
      <x:c r="D522" s="99" t="str">
        <x:v>from</x:v>
      </x:c>
      <x:c r="E522" s="99" t="str"/>
      <x:c r="F522" s="99" t="str">
        <x:v>time to time 有时；间或</x:v>
      </x:c>
      <x:c r="G522" s="99" t="str">
        <x:v>14. from time to time 有时；间或</x:v>
      </x:c>
    </x:row>
    <x:row r="523" ht="18" customHeight="1">
      <x:c r="A523" s="99" t="str">
        <x:v>F</x:v>
      </x:c>
      <x:c r="B523" s="99" t="str">
        <x:v>短语</x:v>
      </x:c>
      <x:c r="C523" s="99" t="n">
        <x:v>15</x:v>
      </x:c>
      <x:c r="D523" s="99" t="str">
        <x:v>get</x:v>
      </x:c>
      <x:c r="E523" s="99" t="str"/>
      <x:c r="F523" s="99" t="str">
        <x:v>fat 发胖</x:v>
      </x:c>
      <x:c r="G523" s="99" t="str">
        <x:v>15. get fat 发胖</x:v>
      </x:c>
    </x:row>
    <x:row r="524" ht="18" customHeight="1">
      <x:c r="A524" s="99" t="str">
        <x:v>F</x:v>
      </x:c>
      <x:c r="B524" s="99" t="str">
        <x:v>短语</x:v>
      </x:c>
      <x:c r="C524" s="99" t="n">
        <x:v>16</x:v>
      </x:c>
      <x:c r="D524" s="99" t="str">
        <x:v>in</x:v>
      </x:c>
      <x:c r="E524" s="99" t="str"/>
      <x:c r="F524" s="99" t="str">
        <x:v>fact 事实上</x:v>
      </x:c>
      <x:c r="G524" s="99" t="str">
        <x:v>16. in fact 事实上</x:v>
      </x:c>
    </x:row>
    <x:row r="525" ht="18" customHeight="1">
      <x:c r="A525" s="99" t="str">
        <x:v>F</x:v>
      </x:c>
      <x:c r="B525" s="99" t="str">
        <x:v>短语</x:v>
      </x:c>
      <x:c r="C525" s="99" t="n">
        <x:v>17</x:v>
      </x:c>
      <x:c r="D525" s="99" t="str">
        <x:v>in</x:v>
      </x:c>
      <x:c r="E525" s="99" t="str"/>
      <x:c r="F525" s="99" t="str">
        <x:v>front of 在……的前面</x:v>
      </x:c>
      <x:c r="G525" s="99" t="str">
        <x:v>17. in front of 在……的前面</x:v>
      </x:c>
    </x:row>
    <x:row r="526" ht="18" customHeight="1">
      <x:c r="A526" s="99" t="str">
        <x:v>F</x:v>
      </x:c>
      <x:c r="B526" s="99" t="str">
        <x:v>短语</x:v>
      </x:c>
      <x:c r="C526" s="99" t="n">
        <x:v>18</x:v>
      </x:c>
      <x:c r="D526" s="99" t="str">
        <x:v>in</x:v>
      </x:c>
      <x:c r="E526" s="99" t="str"/>
      <x:c r="F526" s="99" t="str">
        <x:v>the future 将来</x:v>
      </x:c>
      <x:c r="G526" s="99" t="str">
        <x:v>18. in the future 将来</x:v>
      </x:c>
    </x:row>
    <x:row r="527" ht="18" customHeight="1">
      <x:c r="A527" s="99" t="str">
        <x:v>F</x:v>
      </x:c>
      <x:c r="B527" s="99" t="str">
        <x:v>短语</x:v>
      </x:c>
      <x:c r="C527" s="99" t="n">
        <x:v>19</x:v>
      </x:c>
      <x:c r="D527" s="99" t="str">
        <x:v>look</x:v>
      </x:c>
      <x:c r="E527" s="99" t="str"/>
      <x:c r="F527" s="99" t="str">
        <x:v>forward to 盼望</x:v>
      </x:c>
      <x:c r="G527" s="99" t="str">
        <x:v>19. look forward to 盼望</x:v>
      </x:c>
    </x:row>
    <x:row r="528" ht="18" customHeight="1">
      <x:c r="A528" s="99" t="str">
        <x:v>G</x:v>
      </x:c>
      <x:c r="B528" s="99" t="str">
        <x:v>名词</x:v>
      </x:c>
      <x:c r="C528" s="99" t="n">
        <x:v>1</x:v>
      </x:c>
      <x:c r="D528" s="99" t="str">
        <x:v>galaxy</x:v>
      </x:c>
      <x:c r="E528" s="99" t="str">
        <x:v>/ˈɡæləksi/</x:v>
      </x:c>
      <x:c r="F528" s="99" t="str">
        <x:v>星系</x:v>
      </x:c>
      <x:c r="G528" s="99" t="str">
        <x:v>1. galaxy /ˈɡæləksi/ 星系</x:v>
      </x:c>
    </x:row>
    <x:row r="529" ht="18" customHeight="1">
      <x:c r="A529" s="99" t="str">
        <x:v>G</x:v>
      </x:c>
      <x:c r="B529" s="99" t="str">
        <x:v>名词</x:v>
      </x:c>
      <x:c r="C529" s="99" t="n">
        <x:v>2</x:v>
      </x:c>
      <x:c r="D529" s="99" t="str">
        <x:v>game</x:v>
      </x:c>
      <x:c r="E529" s="99" t="str">
        <x:v>/ɡeɪm/</x:v>
      </x:c>
      <x:c r="F529" s="99" t="str">
        <x:v>运动项目；游戏</x:v>
      </x:c>
      <x:c r="G529" s="99" t="str">
        <x:v>2. game /ɡeɪm/ 运动项目；游戏</x:v>
      </x:c>
    </x:row>
    <x:row r="530" ht="18" customHeight="1">
      <x:c r="A530" s="99" t="str">
        <x:v>G</x:v>
      </x:c>
      <x:c r="B530" s="99" t="str">
        <x:v>名词</x:v>
      </x:c>
      <x:c r="C530" s="99" t="n">
        <x:v>3</x:v>
      </x:c>
      <x:c r="D530" s="99" t="str">
        <x:v>garden</x:v>
      </x:c>
      <x:c r="E530" s="99" t="str">
        <x:v>/ˈɡɑːdn/</x:v>
      </x:c>
      <x:c r="F530" s="99" t="str">
        <x:v>花园</x:v>
      </x:c>
      <x:c r="G530" s="99" t="str">
        <x:v>3. garden /ˈɡɑːdn/ 花园</x:v>
      </x:c>
    </x:row>
    <x:row r="531" ht="18" customHeight="1">
      <x:c r="A531" s="99" t="str">
        <x:v>G</x:v>
      </x:c>
      <x:c r="B531" s="99" t="str">
        <x:v>名词</x:v>
      </x:c>
      <x:c r="C531" s="99" t="n">
        <x:v>4</x:v>
      </x:c>
      <x:c r="D531" s="99" t="str">
        <x:v>gentleman</x:v>
      </x:c>
      <x:c r="E531" s="99" t="str">
        <x:v>/ˈdʒentlmən/</x:v>
      </x:c>
      <x:c r="F531" s="99" t="str">
        <x:v>先生；男士</x:v>
      </x:c>
      <x:c r="G531" s="99" t="str">
        <x:v>4. gentleman /ˈdʒentlmən/ 先生；男士</x:v>
      </x:c>
    </x:row>
    <x:row r="532" ht="18" customHeight="1">
      <x:c r="A532" s="99" t="str">
        <x:v>G</x:v>
      </x:c>
      <x:c r="B532" s="99" t="str">
        <x:v>名词</x:v>
      </x:c>
      <x:c r="C532" s="99" t="n">
        <x:v>5</x:v>
      </x:c>
      <x:c r="D532" s="99" t="str">
        <x:v>German</x:v>
      </x:c>
      <x:c r="E532" s="99" t="str">
        <x:v>/ˈdʒɜːmən/</x:v>
      </x:c>
      <x:c r="F532" s="99" t="str">
        <x:v>德国人；德语</x:v>
      </x:c>
      <x:c r="G532" s="99" t="str">
        <x:v>5. German /ˈdʒɜːmən/ 德国人；德语</x:v>
      </x:c>
    </x:row>
    <x:row r="533" ht="18" customHeight="1">
      <x:c r="A533" s="99" t="str">
        <x:v>G</x:v>
      </x:c>
      <x:c r="B533" s="99" t="str">
        <x:v>名词</x:v>
      </x:c>
      <x:c r="C533" s="99" t="n">
        <x:v>6</x:v>
      </x:c>
      <x:c r="D533" s="99" t="str">
        <x:v>Germany</x:v>
      </x:c>
      <x:c r="E533" s="99" t="str">
        <x:v>/ˈdʒɜːməni/</x:v>
      </x:c>
      <x:c r="F533" s="99" t="str">
        <x:v>德国</x:v>
      </x:c>
      <x:c r="G533" s="99" t="str">
        <x:v>6. Germany /ˈdʒɜːməni/ 德国</x:v>
      </x:c>
    </x:row>
    <x:row r="534" ht="18" customHeight="1">
      <x:c r="A534" s="99" t="str">
        <x:v>G</x:v>
      </x:c>
      <x:c r="B534" s="99" t="str">
        <x:v>名词</x:v>
      </x:c>
      <x:c r="C534" s="99" t="n">
        <x:v>7</x:v>
      </x:c>
      <x:c r="D534" s="99" t="str">
        <x:v>gift</x:v>
      </x:c>
      <x:c r="E534" s="99" t="str">
        <x:v>/ɡɪft/</x:v>
      </x:c>
      <x:c r="F534" s="99" t="str">
        <x:v>礼物</x:v>
      </x:c>
      <x:c r="G534" s="99" t="str">
        <x:v>7. gift /ɡɪft/ 礼物</x:v>
      </x:c>
    </x:row>
    <x:row r="535" ht="18" customHeight="1">
      <x:c r="A535" s="99" t="str">
        <x:v>G</x:v>
      </x:c>
      <x:c r="B535" s="99" t="str">
        <x:v>名词</x:v>
      </x:c>
      <x:c r="C535" s="99" t="n">
        <x:v>8</x:v>
      </x:c>
      <x:c r="D535" s="99" t="str">
        <x:v>glass</x:v>
      </x:c>
      <x:c r="E535" s="99" t="str">
        <x:v>/ɡlɑːs/</x:v>
      </x:c>
      <x:c r="F535" s="99" t="str">
        <x:v>玻璃；（复数）眼镜</x:v>
      </x:c>
      <x:c r="G535" s="99" t="str">
        <x:v>8. glass /ɡlɑːs/ 玻璃；（复数）眼镜</x:v>
      </x:c>
    </x:row>
    <x:row r="536" ht="18" customHeight="1">
      <x:c r="A536" s="99" t="str">
        <x:v>G</x:v>
      </x:c>
      <x:c r="B536" s="99" t="str">
        <x:v>名词</x:v>
      </x:c>
      <x:c r="C536" s="99" t="n">
        <x:v>9</x:v>
      </x:c>
      <x:c r="D536" s="99" t="str">
        <x:v>glasses</x:v>
      </x:c>
      <x:c r="E536" s="99" t="str">
        <x:v>/ˈɡlɑːsɪz/</x:v>
      </x:c>
      <x:c r="F536" s="99" t="str">
        <x:v>眼镜</x:v>
      </x:c>
      <x:c r="G536" s="99" t="str">
        <x:v>9. glasses /ˈɡlɑːsɪz/ 眼镜</x:v>
      </x:c>
    </x:row>
    <x:row r="537" ht="18" customHeight="1">
      <x:c r="A537" s="99" t="str">
        <x:v>G</x:v>
      </x:c>
      <x:c r="B537" s="99" t="str">
        <x:v>名词</x:v>
      </x:c>
      <x:c r="C537" s="99" t="n">
        <x:v>10</x:v>
      </x:c>
      <x:c r="D537" s="99" t="str">
        <x:v>glue</x:v>
      </x:c>
      <x:c r="E537" s="99" t="str">
        <x:v>/ɡluː/</x:v>
      </x:c>
      <x:c r="F537" s="99" t="str">
        <x:v>胶水</x:v>
      </x:c>
      <x:c r="G537" s="99" t="str">
        <x:v>10. glue /ɡluː/ 胶水</x:v>
      </x:c>
    </x:row>
    <x:row r="538" ht="18" customHeight="1">
      <x:c r="A538" s="99" t="str">
        <x:v>G</x:v>
      </x:c>
      <x:c r="B538" s="99" t="str">
        <x:v>名词</x:v>
      </x:c>
      <x:c r="C538" s="99" t="n">
        <x:v>11</x:v>
      </x:c>
      <x:c r="D538" s="99" t="str">
        <x:v>gold</x:v>
      </x:c>
      <x:c r="E538" s="99" t="str">
        <x:v>/ɡəʊld/</x:v>
      </x:c>
      <x:c r="F538" s="99" t="str">
        <x:v>金色；黄金；金牌</x:v>
      </x:c>
      <x:c r="G538" s="99" t="str">
        <x:v>11. gold /ɡəʊld/ 金色；黄金；金牌</x:v>
      </x:c>
    </x:row>
    <x:row r="539" ht="18" customHeight="1">
      <x:c r="A539" s="99" t="str">
        <x:v>G</x:v>
      </x:c>
      <x:c r="B539" s="99" t="str">
        <x:v>名词</x:v>
      </x:c>
      <x:c r="C539" s="99" t="n">
        <x:v>12</x:v>
      </x:c>
      <x:c r="D539" s="99" t="str">
        <x:v>government</x:v>
      </x:c>
      <x:c r="E539" s="99" t="str">
        <x:v>/ˈɡʌvənmənt/</x:v>
      </x:c>
      <x:c r="F539" s="99" t="str">
        <x:v>政府</x:v>
      </x:c>
      <x:c r="G539" s="99" t="str">
        <x:v>12. government /ˈɡʌvənmənt/ 政府</x:v>
      </x:c>
    </x:row>
    <x:row r="540" ht="18" customHeight="1">
      <x:c r="A540" s="99" t="str">
        <x:v>G</x:v>
      </x:c>
      <x:c r="B540" s="99" t="str">
        <x:v>名词</x:v>
      </x:c>
      <x:c r="C540" s="99" t="n">
        <x:v>13</x:v>
      </x:c>
      <x:c r="D540" s="99" t="str">
        <x:v>grade</x:v>
      </x:c>
      <x:c r="E540" s="99" t="str">
        <x:v>/ɡreɪd/</x:v>
      </x:c>
      <x:c r="F540" s="99" t="str">
        <x:v>年级；等级</x:v>
      </x:c>
      <x:c r="G540" s="99" t="str">
        <x:v>13. grade /ɡreɪd/ 年级；等级</x:v>
      </x:c>
    </x:row>
    <x:row r="541" ht="18" customHeight="1">
      <x:c r="A541" s="99" t="str">
        <x:v>G</x:v>
      </x:c>
      <x:c r="B541" s="99" t="str">
        <x:v>名词</x:v>
      </x:c>
      <x:c r="C541" s="99" t="n">
        <x:v>14</x:v>
      </x:c>
      <x:c r="D541" s="99" t="str">
        <x:v>grammar</x:v>
      </x:c>
      <x:c r="E541" s="99" t="str">
        <x:v>/ˈɡræmə/</x:v>
      </x:c>
      <x:c r="F541" s="99" t="str">
        <x:v>语法</x:v>
      </x:c>
      <x:c r="G541" s="99" t="str">
        <x:v>14. grammar /ˈɡræmə/ 语法</x:v>
      </x:c>
    </x:row>
    <x:row r="542" ht="18" customHeight="1">
      <x:c r="A542" s="99" t="str">
        <x:v>G</x:v>
      </x:c>
      <x:c r="B542" s="99" t="str">
        <x:v>名词</x:v>
      </x:c>
      <x:c r="C542" s="99" t="n">
        <x:v>15</x:v>
      </x:c>
      <x:c r="D542" s="99" t="str">
        <x:v>group</x:v>
      </x:c>
      <x:c r="E542" s="99" t="str">
        <x:v>/ɡruːp/</x:v>
      </x:c>
      <x:c r="F542" s="99" t="str">
        <x:v>群；组</x:v>
      </x:c>
      <x:c r="G542" s="99" t="str">
        <x:v>15. group /ɡruːp/ 群；组</x:v>
      </x:c>
    </x:row>
    <x:row r="543" ht="18" customHeight="1">
      <x:c r="A543" s="99" t="str">
        <x:v>G</x:v>
      </x:c>
      <x:c r="B543" s="99" t="str">
        <x:v>名词</x:v>
      </x:c>
      <x:c r="C543" s="99" t="n">
        <x:v>16</x:v>
      </x:c>
      <x:c r="D543" s="99" t="str">
        <x:v>guest</x:v>
      </x:c>
      <x:c r="E543" s="99" t="str">
        <x:v>/ɡest/</x:v>
      </x:c>
      <x:c r="F543" s="99" t="str">
        <x:v>客人；宾客</x:v>
      </x:c>
      <x:c r="G543" s="99" t="str">
        <x:v>16. guest /ɡest/ 客人；宾客</x:v>
      </x:c>
    </x:row>
    <x:row r="544" ht="18" customHeight="1">
      <x:c r="A544" s="99" t="str">
        <x:v>G</x:v>
      </x:c>
      <x:c r="B544" s="99" t="str">
        <x:v>名词</x:v>
      </x:c>
      <x:c r="C544" s="99" t="n">
        <x:v>17</x:v>
      </x:c>
      <x:c r="D544" s="99" t="str">
        <x:v>guidebook</x:v>
      </x:c>
      <x:c r="E544" s="99" t="str">
        <x:v>/ˈɡaɪdbʊk/</x:v>
      </x:c>
      <x:c r="F544" s="99" t="str">
        <x:v>导游手册；旅行指南</x:v>
      </x:c>
      <x:c r="G544" s="99" t="str">
        <x:v>17. guidebook /ˈɡaɪdbʊk/ 导游手册；旅行指南</x:v>
      </x:c>
    </x:row>
    <x:row r="545" ht="18" customHeight="1">
      <x:c r="A545" s="99" t="str">
        <x:v>G</x:v>
      </x:c>
      <x:c r="B545" s="99" t="str">
        <x:v>动词</x:v>
      </x:c>
      <x:c r="C545" s="99" t="n">
        <x:v>1</x:v>
      </x:c>
      <x:c r="D545" s="99" t="str">
        <x:v>get</x:v>
      </x:c>
      <x:c r="E545" s="99" t="str">
        <x:v>/ɡet/</x:v>
      </x:c>
      <x:c r="F545" s="99" t="str">
        <x:v>变成；成为；得到</x:v>
      </x:c>
      <x:c r="G545" s="99" t="str">
        <x:v>1. get /ɡet/ 变成；成为；得到</x:v>
      </x:c>
    </x:row>
    <x:row r="546" ht="18" customHeight="1">
      <x:c r="A546" s="99" t="str">
        <x:v>G</x:v>
      </x:c>
      <x:c r="B546" s="99" t="str">
        <x:v>动词</x:v>
      </x:c>
      <x:c r="C546" s="99" t="n">
        <x:v>2</x:v>
      </x:c>
      <x:c r="D546" s="99" t="str">
        <x:v>give</x:v>
      </x:c>
      <x:c r="E546" s="99" t="str">
        <x:v>/ɡɪv/</x:v>
      </x:c>
      <x:c r="F546" s="99" t="str">
        <x:v>给；给予</x:v>
      </x:c>
      <x:c r="G546" s="99" t="str">
        <x:v>2. give /ɡɪv/ 给；给予</x:v>
      </x:c>
    </x:row>
    <x:row r="547" ht="18" customHeight="1">
      <x:c r="A547" s="99" t="str">
        <x:v>G</x:v>
      </x:c>
      <x:c r="B547" s="99" t="str">
        <x:v>动词</x:v>
      </x:c>
      <x:c r="C547" s="99" t="n">
        <x:v>3</x:v>
      </x:c>
      <x:c r="D547" s="99" t="str">
        <x:v>go</x:v>
      </x:c>
      <x:c r="E547" s="99" t="str">
        <x:v>/ɡəʊ/</x:v>
      </x:c>
      <x:c r="F547" s="99" t="str">
        <x:v>去；走</x:v>
      </x:c>
      <x:c r="G547" s="99" t="str">
        <x:v>3. go /ɡəʊ/ 去；走</x:v>
      </x:c>
    </x:row>
    <x:row r="548" ht="18" customHeight="1">
      <x:c r="A548" s="99" t="str">
        <x:v>G</x:v>
      </x:c>
      <x:c r="B548" s="99" t="str">
        <x:v>动词</x:v>
      </x:c>
      <x:c r="C548" s="99" t="n">
        <x:v>4</x:v>
      </x:c>
      <x:c r="D548" s="99" t="str">
        <x:v>grow</x:v>
      </x:c>
      <x:c r="E548" s="99" t="str">
        <x:v>/ɡrəʊ/</x:v>
      </x:c>
      <x:c r="F548" s="99" t="str">
        <x:v>(grew /ɡruː/; grown /ɡrəʊn/) （逐渐）变得；生长；增长</x:v>
      </x:c>
      <x:c r="G548" s="99" t="str">
        <x:v>4. grow /ɡrəʊ/ (grew /ɡruː/; grown /ɡrəʊn/) （逐渐）变得；生长；增长</x:v>
      </x:c>
    </x:row>
    <x:row r="549" ht="18" customHeight="1">
      <x:c r="A549" s="99" t="str">
        <x:v>G</x:v>
      </x:c>
      <x:c r="B549" s="99" t="str">
        <x:v>动词</x:v>
      </x:c>
      <x:c r="C549" s="99" t="n">
        <x:v>5</x:v>
      </x:c>
      <x:c r="D549" s="99" t="str">
        <x:v>guess</x:v>
      </x:c>
      <x:c r="E549" s="99" t="str">
        <x:v>/ɡes/</x:v>
      </x:c>
      <x:c r="F549" s="99" t="str">
        <x:v>猜；猜测</x:v>
      </x:c>
      <x:c r="G549" s="99" t="str">
        <x:v>5. guess /ɡes/ 猜；猜测</x:v>
      </x:c>
    </x:row>
    <x:row r="550" ht="18" customHeight="1">
      <x:c r="A550" s="99" t="str">
        <x:v>G</x:v>
      </x:c>
      <x:c r="B550" s="99" t="str">
        <x:v>形容词</x:v>
      </x:c>
      <x:c r="C550" s="99" t="n">
        <x:v>1</x:v>
      </x:c>
      <x:c r="D550" s="99" t="str">
        <x:v>glad</x:v>
      </x:c>
      <x:c r="E550" s="99" t="str">
        <x:v>/ɡlæd/</x:v>
      </x:c>
      <x:c r="F550" s="99" t="str">
        <x:v>高兴的；欢喜的</x:v>
      </x:c>
      <x:c r="G550" s="99" t="str">
        <x:v>1. glad /ɡlæd/ 高兴的；欢喜的</x:v>
      </x:c>
    </x:row>
    <x:row r="551" ht="18" customHeight="1">
      <x:c r="A551" s="99" t="str">
        <x:v>G</x:v>
      </x:c>
      <x:c r="B551" s="99" t="str">
        <x:v>形容词</x:v>
      </x:c>
      <x:c r="C551" s="99" t="n">
        <x:v>2</x:v>
      </x:c>
      <x:c r="D551" s="99" t="str">
        <x:v>good</x:v>
      </x:c>
      <x:c r="E551" s="99" t="str">
        <x:v>/ɡʊd/</x:v>
      </x:c>
      <x:c r="F551" s="99" t="str">
        <x:v>好的；（行为）有教养的；守规矩的</x:v>
      </x:c>
      <x:c r="G551" s="99" t="str">
        <x:v>2. good /ɡʊd/ 好的；（行为）有教养的；守规矩的</x:v>
      </x:c>
    </x:row>
    <x:row r="552" ht="18" customHeight="1">
      <x:c r="A552" s="99" t="str">
        <x:v>G</x:v>
      </x:c>
      <x:c r="B552" s="99" t="str">
        <x:v>形容词</x:v>
      </x:c>
      <x:c r="C552" s="99" t="n">
        <x:v>3</x:v>
      </x:c>
      <x:c r="D552" s="99" t="str">
        <x:v>golden</x:v>
      </x:c>
      <x:c r="E552" s="99" t="str">
        <x:v>/ˈɡəʊldən/</x:v>
      </x:c>
      <x:c r="F552" s="99" t="str">
        <x:v>金色的；金的</x:v>
      </x:c>
      <x:c r="G552" s="99" t="str">
        <x:v>3. golden /ˈɡəʊldən/ 金色的；金的</x:v>
      </x:c>
    </x:row>
    <x:row r="553" ht="18" customHeight="1">
      <x:c r="A553" s="99" t="str">
        <x:v>G</x:v>
      </x:c>
      <x:c r="B553" s="99" t="str">
        <x:v>形容词</x:v>
      </x:c>
      <x:c r="C553" s="99" t="n">
        <x:v>4</x:v>
      </x:c>
      <x:c r="D553" s="99" t="str">
        <x:v>German</x:v>
      </x:c>
      <x:c r="E553" s="99" t="str">
        <x:v>/ˈdʒɜːmən/</x:v>
      </x:c>
      <x:c r="F553" s="99" t="str">
        <x:v>德国的；德国人的；德语的</x:v>
      </x:c>
      <x:c r="G553" s="99" t="str">
        <x:v>4. German /ˈdʒɜːmən/ 德国的；德国人的；德语的</x:v>
      </x:c>
    </x:row>
    <x:row r="554" ht="18" customHeight="1">
      <x:c r="A554" s="99" t="str">
        <x:v>G</x:v>
      </x:c>
      <x:c r="B554" s="99" t="str">
        <x:v>副词</x:v>
      </x:c>
      <x:c r="C554" s="99" t="str"/>
      <x:c r="D554" s="99" t="str">
        <x:v>无纯副词。</x:v>
      </x:c>
      <x:c r="E554" s="99" t="str"/>
      <x:c r="F554" s="99" t="str"/>
      <x:c r="G554" s="99" t="str">
        <x:v>无纯副词。</x:v>
      </x:c>
    </x:row>
    <x:row r="555" ht="18" customHeight="1">
      <x:c r="A555" s="99" t="str">
        <x:v>G</x:v>
      </x:c>
      <x:c r="B555" s="99" t="str">
        <x:v>介词</x:v>
      </x:c>
      <x:c r="C555" s="99" t="str"/>
      <x:c r="D555" s="99" t="str">
        <x:v>无纯介词。</x:v>
      </x:c>
      <x:c r="E555" s="99" t="str"/>
      <x:c r="F555" s="99" t="str"/>
      <x:c r="G555" s="99" t="str">
        <x:v>无纯介词。</x:v>
      </x:c>
    </x:row>
    <x:row r="556" ht="18" customHeight="1">
      <x:c r="A556" s="99" t="str">
        <x:v>G</x:v>
      </x:c>
      <x:c r="B556" s="99" t="str">
        <x:v>短语</x:v>
      </x:c>
      <x:c r="C556" s="99" t="n">
        <x:v>1</x:v>
      </x:c>
      <x:c r="D556" s="99" t="str">
        <x:v>get</x:v>
      </x:c>
      <x:c r="E556" s="99" t="str"/>
      <x:c r="F556" s="99" t="str">
        <x:v>on well with sb. 与某人相处融洽</x:v>
      </x:c>
      <x:c r="G556" s="99" t="str">
        <x:v>1. get on well with sb. 与某人相处融洽</x:v>
      </x:c>
    </x:row>
    <x:row r="557" ht="18" customHeight="1">
      <x:c r="A557" s="99" t="str">
        <x:v>G</x:v>
      </x:c>
      <x:c r="B557" s="99" t="str">
        <x:v>短语</x:v>
      </x:c>
      <x:c r="C557" s="99" t="n">
        <x:v>2</x:v>
      </x:c>
      <x:c r="D557" s="99" t="str">
        <x:v>go</x:v>
      </x:c>
      <x:c r="E557" s="99" t="str"/>
      <x:c r="F557" s="99" t="str">
        <x:v>for a walk 散步</x:v>
      </x:c>
      <x:c r="G557" s="99" t="str">
        <x:v>2. go for a walk 散步</x:v>
      </x:c>
    </x:row>
    <x:row r="558" ht="18" customHeight="1">
      <x:c r="A558" s="99" t="str">
        <x:v>G</x:v>
      </x:c>
      <x:c r="B558" s="99" t="str">
        <x:v>短语</x:v>
      </x:c>
      <x:c r="C558" s="99" t="n">
        <x:v>3</x:v>
      </x:c>
      <x:c r="D558" s="99" t="str">
        <x:v>go</x:v>
      </x:c>
      <x:c r="E558" s="99" t="str"/>
      <x:c r="F558" s="99" t="str">
        <x:v>over 复习；练习</x:v>
      </x:c>
      <x:c r="G558" s="99" t="str">
        <x:v>3. go over 复习；练习</x:v>
      </x:c>
    </x:row>
    <x:row r="559" ht="18" customHeight="1">
      <x:c r="A559" s="99" t="str">
        <x:v>G</x:v>
      </x:c>
      <x:c r="B559" s="99" t="str">
        <x:v>短语</x:v>
      </x:c>
      <x:c r="C559" s="99" t="n">
        <x:v>4</x:v>
      </x:c>
      <x:c r="D559" s="99" t="str">
        <x:v>be</x:v>
      </x:c>
      <x:c r="E559" s="99" t="str"/>
      <x:c r="F559" s="99" t="str">
        <x:v>good at 擅长</x:v>
      </x:c>
      <x:c r="G559" s="99" t="str">
        <x:v>4. be good at 擅长</x:v>
      </x:c>
    </x:row>
    <x:row r="560" ht="18" customHeight="1">
      <x:c r="A560" s="99" t="str">
        <x:v>H</x:v>
      </x:c>
      <x:c r="B560" s="99" t="str">
        <x:v>名词</x:v>
      </x:c>
      <x:c r="C560" s="99" t="n">
        <x:v>1</x:v>
      </x:c>
      <x:c r="D560" s="99" t="str">
        <x:v>hair</x:v>
      </x:c>
      <x:c r="E560" s="99" t="str">
        <x:v>/heə/</x:v>
      </x:c>
      <x:c r="F560" s="99" t="str">
        <x:v>头发</x:v>
      </x:c>
      <x:c r="G560" s="99" t="str">
        <x:v>1. hair /heə/ 头发</x:v>
      </x:c>
    </x:row>
    <x:row r="561" ht="18" customHeight="1">
      <x:c r="A561" s="99" t="str">
        <x:v>H</x:v>
      </x:c>
      <x:c r="B561" s="99" t="str">
        <x:v>名词</x:v>
      </x:c>
      <x:c r="C561" s="99" t="n">
        <x:v>2</x:v>
      </x:c>
      <x:c r="D561" s="99" t="str">
        <x:v>half</x:v>
      </x:c>
      <x:c r="E561" s="99" t="str">
        <x:v>/hɑːf/</x:v>
      </x:c>
      <x:c r="F561" s="99" t="str">
        <x:v>一半</x:v>
      </x:c>
      <x:c r="G561" s="99" t="str">
        <x:v>2. half /hɑːf/ 一半</x:v>
      </x:c>
    </x:row>
    <x:row r="562" ht="18" customHeight="1">
      <x:c r="A562" s="99" t="str">
        <x:v>H</x:v>
      </x:c>
      <x:c r="B562" s="99" t="str">
        <x:v>名词</x:v>
      </x:c>
      <x:c r="C562" s="99" t="n">
        <x:v>3</x:v>
      </x:c>
      <x:c r="D562" s="99" t="str">
        <x:v>hamburger</x:v>
      </x:c>
      <x:c r="E562" s="99" t="str">
        <x:v>/ˈhæmbɜːɡə/</x:v>
      </x:c>
      <x:c r="F562" s="99" t="str">
        <x:v>汉堡包</x:v>
      </x:c>
      <x:c r="G562" s="99" t="str">
        <x:v>3. hamburger /ˈhæmbɜːɡə/ 汉堡包</x:v>
      </x:c>
    </x:row>
    <x:row r="563" ht="18" customHeight="1">
      <x:c r="A563" s="99" t="str">
        <x:v>H</x:v>
      </x:c>
      <x:c r="B563" s="99" t="str">
        <x:v>名词</x:v>
      </x:c>
      <x:c r="C563" s="99" t="n">
        <x:v>4</x:v>
      </x:c>
      <x:c r="D563" s="99" t="str">
        <x:v>hand</x:v>
      </x:c>
      <x:c r="E563" s="99" t="str">
        <x:v>/hænd/</x:v>
      </x:c>
      <x:c r="F563" s="99" t="str">
        <x:v>手</x:v>
      </x:c>
      <x:c r="G563" s="99" t="str">
        <x:v>4. hand /hænd/ 手</x:v>
      </x:c>
    </x:row>
    <x:row r="564" ht="18" customHeight="1">
      <x:c r="A564" s="99" t="str">
        <x:v>H</x:v>
      </x:c>
      <x:c r="B564" s="99" t="str">
        <x:v>名词</x:v>
      </x:c>
      <x:c r="C564" s="99" t="n">
        <x:v>5</x:v>
      </x:c>
      <x:c r="D564" s="99" t="str">
        <x:v>happy</x:v>
      </x:c>
      <x:c r="E564" s="99" t="str">
        <x:v>/ˈhæpi/</x:v>
      </x:c>
      <x:c r="F564" s="99" t="str">
        <x:v>快乐的人（兼作形容词）</x:v>
      </x:c>
      <x:c r="G564" s="99" t="str">
        <x:v>5. happy /ˈhæpi/ 快乐的人（兼作形容词）</x:v>
      </x:c>
    </x:row>
    <x:row r="565" ht="18" customHeight="1">
      <x:c r="A565" s="99" t="str">
        <x:v>H</x:v>
      </x:c>
      <x:c r="B565" s="99" t="str">
        <x:v>名词</x:v>
      </x:c>
      <x:c r="C565" s="99" t="n">
        <x:v>6</x:v>
      </x:c>
      <x:c r="D565" s="99" t="str">
        <x:v>head</x:v>
      </x:c>
      <x:c r="E565" s="99" t="str">
        <x:v>/hed/</x:v>
      </x:c>
      <x:c r="F565" s="99" t="str">
        <x:v>头；头部</x:v>
      </x:c>
      <x:c r="G565" s="99" t="str">
        <x:v>6. head /hed/ 头；头部</x:v>
      </x:c>
    </x:row>
    <x:row r="566" ht="18" customHeight="1">
      <x:c r="A566" s="99" t="str">
        <x:v>H</x:v>
      </x:c>
      <x:c r="B566" s="99" t="str">
        <x:v>名词</x:v>
      </x:c>
      <x:c r="C566" s="99" t="n">
        <x:v>7</x:v>
      </x:c>
      <x:c r="D566" s="99" t="str">
        <x:v>headache</x:v>
      </x:c>
      <x:c r="E566" s="99" t="str">
        <x:v>/ˈhedeɪk/</x:v>
      </x:c>
      <x:c r="F566" s="99" t="str">
        <x:v>头痛</x:v>
      </x:c>
      <x:c r="G566" s="99" t="str">
        <x:v>7. headache /ˈhedeɪk/ 头痛</x:v>
      </x:c>
    </x:row>
    <x:row r="567" ht="18" customHeight="1">
      <x:c r="A567" s="99" t="str">
        <x:v>H</x:v>
      </x:c>
      <x:c r="B567" s="99" t="str">
        <x:v>名词</x:v>
      </x:c>
      <x:c r="C567" s="99" t="n">
        <x:v>8</x:v>
      </x:c>
      <x:c r="D567" s="99" t="str">
        <x:v>health</x:v>
      </x:c>
      <x:c r="E567" s="99" t="str">
        <x:v>/helθ/</x:v>
      </x:c>
      <x:c r="F567" s="99" t="str">
        <x:v>健康；健康状况</x:v>
      </x:c>
      <x:c r="G567" s="99" t="str">
        <x:v>8. health /helθ/ 健康；健康状况</x:v>
      </x:c>
    </x:row>
    <x:row r="568" ht="18" customHeight="1">
      <x:c r="A568" s="99" t="str">
        <x:v>H</x:v>
      </x:c>
      <x:c r="B568" s="99" t="str">
        <x:v>名词</x:v>
      </x:c>
      <x:c r="C568" s="99" t="n">
        <x:v>9</x:v>
      </x:c>
      <x:c r="D568" s="99" t="str">
        <x:v>heart</x:v>
      </x:c>
      <x:c r="E568" s="99" t="str">
        <x:v>/hɑːt/</x:v>
      </x:c>
      <x:c r="F568" s="99" t="str">
        <x:v>心；心脏</x:v>
      </x:c>
      <x:c r="G568" s="99" t="str">
        <x:v>9. heart /hɑːt/ 心；心脏</x:v>
      </x:c>
    </x:row>
    <x:row r="569" ht="18" customHeight="1">
      <x:c r="A569" s="99" t="str">
        <x:v>H</x:v>
      </x:c>
      <x:c r="B569" s="99" t="str">
        <x:v>名词</x:v>
      </x:c>
      <x:c r="C569" s="99" t="n">
        <x:v>10</x:v>
      </x:c>
      <x:c r="D569" s="99" t="str">
        <x:v>heaven</x:v>
      </x:c>
      <x:c r="E569" s="99" t="str">
        <x:v>/ˈhevn/</x:v>
      </x:c>
      <x:c r="F569" s="99" t="str">
        <x:v>天国；天堂</x:v>
      </x:c>
      <x:c r="G569" s="99" t="str">
        <x:v>10. heaven /ˈhevn/ 天国；天堂</x:v>
      </x:c>
    </x:row>
    <x:row r="570" ht="18" customHeight="1">
      <x:c r="A570" s="99" t="str">
        <x:v>H</x:v>
      </x:c>
      <x:c r="B570" s="99" t="str">
        <x:v>名词</x:v>
      </x:c>
      <x:c r="C570" s="99" t="n">
        <x:v>11</x:v>
      </x:c>
      <x:c r="D570" s="99" t="str">
        <x:v>heavy</x:v>
      </x:c>
      <x:c r="E570" s="99" t="str">
        <x:v>/ˈhevi/</x:v>
      </x:c>
      <x:c r="F570" s="99" t="str">
        <x:v>重物（兼作形容词）</x:v>
      </x:c>
      <x:c r="G570" s="99" t="str">
        <x:v>11. heavy /ˈhevi/ 重物（兼作形容词）</x:v>
      </x:c>
    </x:row>
    <x:row r="571" ht="18" customHeight="1">
      <x:c r="A571" s="99" t="str">
        <x:v>H</x:v>
      </x:c>
      <x:c r="B571" s="99" t="str">
        <x:v>名词</x:v>
      </x:c>
      <x:c r="C571" s="99" t="n">
        <x:v>12</x:v>
      </x:c>
      <x:c r="D571" s="99" t="str">
        <x:v>height</x:v>
      </x:c>
      <x:c r="E571" s="99" t="str">
        <x:v>/haɪt/</x:v>
      </x:c>
      <x:c r="F571" s="99" t="str">
        <x:v>高度</x:v>
      </x:c>
      <x:c r="G571" s="99" t="str">
        <x:v>12. height /haɪt/ 高度</x:v>
      </x:c>
    </x:row>
    <x:row r="572" ht="18" customHeight="1">
      <x:c r="A572" s="99" t="str">
        <x:v>H</x:v>
      </x:c>
      <x:c r="B572" s="99" t="str">
        <x:v>名词</x:v>
      </x:c>
      <x:c r="C572" s="99" t="n">
        <x:v>13</x:v>
      </x:c>
      <x:c r="D572" s="99" t="str">
        <x:v>hello</x:v>
      </x:c>
      <x:c r="E572" s="99" t="str">
        <x:v>/həˈləʊ/</x:v>
      </x:c>
      <x:c r="F572" s="99" t="str">
        <x:v>问候；招呼（兼作感叹词）</x:v>
      </x:c>
      <x:c r="G572" s="99" t="str">
        <x:v>13. hello /həˈləʊ/ 问候；招呼（兼作感叹词）</x:v>
      </x:c>
    </x:row>
    <x:row r="573" ht="18" customHeight="1">
      <x:c r="A573" s="99" t="str">
        <x:v>H</x:v>
      </x:c>
      <x:c r="B573" s="99" t="str">
        <x:v>名词</x:v>
      </x:c>
      <x:c r="C573" s="99" t="n">
        <x:v>14</x:v>
      </x:c>
      <x:c r="D573" s="99" t="str">
        <x:v>help</x:v>
      </x:c>
      <x:c r="E573" s="99" t="str">
        <x:v>/help/</x:v>
      </x:c>
      <x:c r="F573" s="99" t="str">
        <x:v>帮助；援助（兼作动词）</x:v>
      </x:c>
      <x:c r="G573" s="99" t="str">
        <x:v>14. help /help/ 帮助；援助（兼作动词）</x:v>
      </x:c>
    </x:row>
    <x:row r="574" ht="18" customHeight="1">
      <x:c r="A574" s="99" t="str">
        <x:v>H</x:v>
      </x:c>
      <x:c r="B574" s="99" t="str">
        <x:v>名词</x:v>
      </x:c>
      <x:c r="C574" s="99" t="n">
        <x:v>15</x:v>
      </x:c>
      <x:c r="D574" s="99" t="str">
        <x:v>hero</x:v>
      </x:c>
      <x:c r="E574" s="99" t="str">
        <x:v>/ˈhɪərəʊ/</x:v>
      </x:c>
      <x:c r="F574" s="99" t="str">
        <x:v>英雄；男主角</x:v>
      </x:c>
      <x:c r="G574" s="99" t="str">
        <x:v>15. hero /ˈhɪərəʊ/ 英雄；男主角</x:v>
      </x:c>
    </x:row>
    <x:row r="575" ht="18" customHeight="1">
      <x:c r="A575" s="99" t="str">
        <x:v>H</x:v>
      </x:c>
      <x:c r="B575" s="99" t="str">
        <x:v>名词</x:v>
      </x:c>
      <x:c r="C575" s="99" t="n">
        <x:v>16</x:v>
      </x:c>
      <x:c r="D575" s="99" t="str">
        <x:v>herself</x:v>
      </x:c>
      <x:c r="E575" s="99" t="str">
        <x:v>/hɜːˈself/</x:v>
      </x:c>
      <x:c r="F575" s="99" t="str">
        <x:v>她自己（兼作代词）</x:v>
      </x:c>
      <x:c r="G575" s="99" t="str">
        <x:v>16. herself /hɜːˈself/ 她自己（兼作代词）</x:v>
      </x:c>
    </x:row>
    <x:row r="576" ht="18" customHeight="1">
      <x:c r="A576" s="99" t="str">
        <x:v>H</x:v>
      </x:c>
      <x:c r="B576" s="99" t="str">
        <x:v>名词</x:v>
      </x:c>
      <x:c r="C576" s="99" t="n">
        <x:v>17</x:v>
      </x:c>
      <x:c r="D576" s="99" t="str">
        <x:v>hide</x:v>
      </x:c>
      <x:c r="E576" s="99" t="str">
        <x:v>/haɪd/</x:v>
      </x:c>
      <x:c r="F576" s="99" t="str">
        <x:v>隐藏处（兼作动词）</x:v>
      </x:c>
      <x:c r="G576" s="99" t="str">
        <x:v>17. hide /haɪd/ 隐藏处（兼作动词）</x:v>
      </x:c>
    </x:row>
    <x:row r="577" ht="18" customHeight="1">
      <x:c r="A577" s="99" t="str">
        <x:v>H</x:v>
      </x:c>
      <x:c r="B577" s="99" t="str">
        <x:v>名词</x:v>
      </x:c>
      <x:c r="C577" s="99" t="n">
        <x:v>18</x:v>
      </x:c>
      <x:c r="D577" s="99" t="str">
        <x:v>high</x:v>
      </x:c>
      <x:c r="E577" s="99" t="str">
        <x:v>/haɪ/</x:v>
      </x:c>
      <x:c r="F577" s="99" t="str">
        <x:v>高处（兼作形容词/副词）</x:v>
      </x:c>
      <x:c r="G577" s="99" t="str">
        <x:v>18. high /haɪ/ 高处（兼作形容词/副词）</x:v>
      </x:c>
    </x:row>
    <x:row r="578" ht="18" customHeight="1">
      <x:c r="A578" s="99" t="str">
        <x:v>H</x:v>
      </x:c>
      <x:c r="B578" s="99" t="str">
        <x:v>名词</x:v>
      </x:c>
      <x:c r="C578" s="99" t="n">
        <x:v>19</x:v>
      </x:c>
      <x:c r="D578" s="99" t="str">
        <x:v>hill</x:v>
      </x:c>
      <x:c r="E578" s="99" t="str">
        <x:v>/hɪl/</x:v>
      </x:c>
      <x:c r="F578" s="99" t="str">
        <x:v>小山；小丘</x:v>
      </x:c>
      <x:c r="G578" s="99" t="str">
        <x:v>19. hill /hɪl/ 小山；小丘</x:v>
      </x:c>
    </x:row>
    <x:row r="579" ht="18" customHeight="1">
      <x:c r="A579" s="99" t="str">
        <x:v>H</x:v>
      </x:c>
      <x:c r="B579" s="99" t="str">
        <x:v>名词</x:v>
      </x:c>
      <x:c r="C579" s="99" t="n">
        <x:v>20</x:v>
      </x:c>
      <x:c r="D579" s="99" t="str">
        <x:v>hobby</x:v>
      </x:c>
      <x:c r="E579" s="99" t="str">
        <x:v>/ˈhɒbi/</x:v>
      </x:c>
      <x:c r="F579" s="99" t="str">
        <x:v>业余爱好</x:v>
      </x:c>
      <x:c r="G579" s="99" t="str">
        <x:v>20. hobby /ˈhɒbi/ 业余爱好</x:v>
      </x:c>
    </x:row>
    <x:row r="580" ht="18" customHeight="1">
      <x:c r="A580" s="99" t="str">
        <x:v>H</x:v>
      </x:c>
      <x:c r="B580" s="99" t="str">
        <x:v>名词</x:v>
      </x:c>
      <x:c r="C580" s="99" t="n">
        <x:v>21</x:v>
      </x:c>
      <x:c r="D580" s="99" t="str">
        <x:v>home</x:v>
      </x:c>
      <x:c r="E580" s="99" t="str">
        <x:v>/həʊm/</x:v>
      </x:c>
      <x:c r="F580" s="99" t="str">
        <x:v>家；家庭（兼作副词/形容词）</x:v>
      </x:c>
      <x:c r="G580" s="99" t="str">
        <x:v>21. home /həʊm/ 家；家庭（兼作副词/形容词）</x:v>
      </x:c>
    </x:row>
    <x:row r="581" ht="18" customHeight="1">
      <x:c r="A581" s="99" t="str">
        <x:v>H</x:v>
      </x:c>
      <x:c r="B581" s="99" t="str">
        <x:v>名词</x:v>
      </x:c>
      <x:c r="C581" s="99" t="n">
        <x:v>22</x:v>
      </x:c>
      <x:c r="D581" s="99" t="str">
        <x:v>hometown</x:v>
      </x:c>
      <x:c r="E581" s="99" t="str">
        <x:v>/ˈhəʊmtaʊn/</x:v>
      </x:c>
      <x:c r="F581" s="99" t="str">
        <x:v>故乡；家乡</x:v>
      </x:c>
      <x:c r="G581" s="99" t="str">
        <x:v>22. hometown /ˈhəʊmtaʊn/ 故乡；家乡</x:v>
      </x:c>
    </x:row>
    <x:row r="582" ht="18" customHeight="1">
      <x:c r="A582" s="99" t="str">
        <x:v>H</x:v>
      </x:c>
      <x:c r="B582" s="99" t="str">
        <x:v>名词</x:v>
      </x:c>
      <x:c r="C582" s="99" t="n">
        <x:v>23</x:v>
      </x:c>
      <x:c r="D582" s="99" t="str">
        <x:v>homework</x:v>
      </x:c>
      <x:c r="E582" s="99" t="str">
        <x:v>/ˈhəʊmwɜːk/</x:v>
      </x:c>
      <x:c r="F582" s="99" t="str">
        <x:v>家庭作业</x:v>
      </x:c>
      <x:c r="G582" s="99" t="str">
        <x:v>23. homework /ˈhəʊmwɜːk/ 家庭作业</x:v>
      </x:c>
    </x:row>
    <x:row r="583" ht="18" customHeight="1">
      <x:c r="A583" s="99" t="str">
        <x:v>H</x:v>
      </x:c>
      <x:c r="B583" s="99" t="str">
        <x:v>名词</x:v>
      </x:c>
      <x:c r="C583" s="99" t="n">
        <x:v>24</x:v>
      </x:c>
      <x:c r="D583" s="99" t="str">
        <x:v>hope</x:v>
      </x:c>
      <x:c r="E583" s="99" t="str">
        <x:v>/həʊp/</x:v>
      </x:c>
      <x:c r="F583" s="99" t="str">
        <x:v>希望（兼作动词）</x:v>
      </x:c>
      <x:c r="G583" s="99" t="str">
        <x:v>24. hope /həʊp/ 希望（兼作动词）</x:v>
      </x:c>
    </x:row>
    <x:row r="584" ht="18" customHeight="1">
      <x:c r="A584" s="99" t="str">
        <x:v>H</x:v>
      </x:c>
      <x:c r="B584" s="99" t="str">
        <x:v>名词</x:v>
      </x:c>
      <x:c r="C584" s="99" t="n">
        <x:v>25</x:v>
      </x:c>
      <x:c r="D584" s="99" t="str">
        <x:v>horse</x:v>
      </x:c>
      <x:c r="E584" s="99" t="str">
        <x:v>/hɔːs/</x:v>
      </x:c>
      <x:c r="F584" s="99" t="str">
        <x:v>马</x:v>
      </x:c>
      <x:c r="G584" s="99" t="str">
        <x:v>25. horse /hɔːs/ 马</x:v>
      </x:c>
    </x:row>
    <x:row r="585" ht="18" customHeight="1">
      <x:c r="A585" s="99" t="str">
        <x:v>H</x:v>
      </x:c>
      <x:c r="B585" s="99" t="str">
        <x:v>名词</x:v>
      </x:c>
      <x:c r="C585" s="99" t="n">
        <x:v>26</x:v>
      </x:c>
      <x:c r="D585" s="99" t="str">
        <x:v>hospital</x:v>
      </x:c>
      <x:c r="E585" s="99" t="str">
        <x:v>/ˈhɒspɪtl/</x:v>
      </x:c>
      <x:c r="F585" s="99" t="str">
        <x:v>医院</x:v>
      </x:c>
      <x:c r="G585" s="99" t="str">
        <x:v>26. hospital /ˈhɒspɪtl/ 医院</x:v>
      </x:c>
    </x:row>
    <x:row r="586" ht="18" customHeight="1">
      <x:c r="A586" s="99" t="str">
        <x:v>H</x:v>
      </x:c>
      <x:c r="B586" s="99" t="str">
        <x:v>名词</x:v>
      </x:c>
      <x:c r="C586" s="99" t="n">
        <x:v>27</x:v>
      </x:c>
      <x:c r="D586" s="99" t="str">
        <x:v>hotel</x:v>
      </x:c>
      <x:c r="E586" s="99" t="str">
        <x:v>/həʊˈtel/</x:v>
      </x:c>
      <x:c r="F586" s="99" t="str">
        <x:v>饭店；宾馆</x:v>
      </x:c>
      <x:c r="G586" s="99" t="str">
        <x:v>27. hotel /həʊˈtel/ 饭店；宾馆</x:v>
      </x:c>
    </x:row>
    <x:row r="587" ht="18" customHeight="1">
      <x:c r="A587" s="99" t="str">
        <x:v>H</x:v>
      </x:c>
      <x:c r="B587" s="99" t="str">
        <x:v>名词</x:v>
      </x:c>
      <x:c r="C587" s="99" t="n">
        <x:v>28</x:v>
      </x:c>
      <x:c r="D587" s="99" t="str">
        <x:v>hour</x:v>
      </x:c>
      <x:c r="E587" s="99" t="str">
        <x:v>/ˈaʊə/</x:v>
      </x:c>
      <x:c r="F587" s="99" t="str">
        <x:v>小时</x:v>
      </x:c>
      <x:c r="G587" s="99" t="str">
        <x:v>28. hour /ˈaʊə/ 小时</x:v>
      </x:c>
    </x:row>
    <x:row r="588" ht="18" customHeight="1">
      <x:c r="A588" s="99" t="str">
        <x:v>H</x:v>
      </x:c>
      <x:c r="B588" s="99" t="str">
        <x:v>名词</x:v>
      </x:c>
      <x:c r="C588" s="99" t="n">
        <x:v>29</x:v>
      </x:c>
      <x:c r="D588" s="99" t="str">
        <x:v>house</x:v>
      </x:c>
      <x:c r="E588" s="99" t="str">
        <x:v>/haʊs/</x:v>
      </x:c>
      <x:c r="F588" s="99" t="str">
        <x:v>房子；住宅</x:v>
      </x:c>
      <x:c r="G588" s="99" t="str">
        <x:v>29. house /haʊs/ 房子；住宅</x:v>
      </x:c>
    </x:row>
    <x:row r="589" ht="18" customHeight="1">
      <x:c r="A589" s="99" t="str">
        <x:v>H</x:v>
      </x:c>
      <x:c r="B589" s="99" t="str">
        <x:v>名词</x:v>
      </x:c>
      <x:c r="C589" s="99" t="n">
        <x:v>30</x:v>
      </x:c>
      <x:c r="D589" s="99" t="str">
        <x:v>housework</x:v>
      </x:c>
      <x:c r="E589" s="99" t="str">
        <x:v>/ˈhaʊswɜːk/</x:v>
      </x:c>
      <x:c r="F589" s="99" t="str">
        <x:v>家务劳动</x:v>
      </x:c>
      <x:c r="G589" s="99" t="str">
        <x:v>30. housework /ˈhaʊswɜːk/ 家务劳动</x:v>
      </x:c>
    </x:row>
    <x:row r="590" ht="18" customHeight="1">
      <x:c r="A590" s="99" t="str">
        <x:v>H</x:v>
      </x:c>
      <x:c r="B590" s="99" t="str">
        <x:v>名词</x:v>
      </x:c>
      <x:c r="C590" s="99" t="n">
        <x:v>31</x:v>
      </x:c>
      <x:c r="D590" s="99" t="str">
        <x:v>human</x:v>
      </x:c>
      <x:c r="E590" s="99" t="str">
        <x:v>/ˈhjuːmən/</x:v>
      </x:c>
      <x:c r="F590" s="99" t="str">
        <x:v>人；人类</x:v>
      </x:c>
      <x:c r="G590" s="99" t="str">
        <x:v>31. human /ˈhjuːmən/ 人；人类</x:v>
      </x:c>
    </x:row>
    <x:row r="591" ht="18" customHeight="1">
      <x:c r="A591" s="99" t="str">
        <x:v>H</x:v>
      </x:c>
      <x:c r="B591" s="99" t="str">
        <x:v>名词</x:v>
      </x:c>
      <x:c r="C591" s="99" t="n">
        <x:v>32</x:v>
      </x:c>
      <x:c r="D591" s="99" t="str">
        <x:v>hundred</x:v>
      </x:c>
      <x:c r="E591" s="99" t="str">
        <x:v>/ˈhʌndrəd/</x:v>
      </x:c>
      <x:c r="F591" s="99" t="str">
        <x:v>百；一百</x:v>
      </x:c>
      <x:c r="G591" s="99" t="str">
        <x:v>32. hundred /ˈhʌndrəd/ 百；一百</x:v>
      </x:c>
    </x:row>
    <x:row r="592" ht="18" customHeight="1">
      <x:c r="A592" s="99" t="str">
        <x:v>H</x:v>
      </x:c>
      <x:c r="B592" s="99" t="str">
        <x:v>名词</x:v>
      </x:c>
      <x:c r="C592" s="99" t="n">
        <x:v>33</x:v>
      </x:c>
      <x:c r="D592" s="99" t="str">
        <x:v>husband</x:v>
      </x:c>
      <x:c r="E592" s="99" t="str">
        <x:v>/ˈhʌzbənd/</x:v>
      </x:c>
      <x:c r="F592" s="99" t="str">
        <x:v>丈夫</x:v>
      </x:c>
      <x:c r="G592" s="99" t="str">
        <x:v>33. husband /ˈhʌzbənd/ 丈夫</x:v>
      </x:c>
    </x:row>
    <x:row r="593" ht="18" customHeight="1">
      <x:c r="A593" s="99" t="str">
        <x:v>H</x:v>
      </x:c>
      <x:c r="B593" s="99" t="str">
        <x:v>动词</x:v>
      </x:c>
      <x:c r="C593" s="99" t="n">
        <x:v>1</x:v>
      </x:c>
      <x:c r="D593" s="99" t="str">
        <x:v>happen</x:v>
      </x:c>
      <x:c r="E593" s="99" t="str">
        <x:v>/ˈhæpən/</x:v>
      </x:c>
      <x:c r="F593" s="99" t="str">
        <x:v>发生</x:v>
      </x:c>
      <x:c r="G593" s="99" t="str">
        <x:v>1. happen /ˈhæpən/ 发生</x:v>
      </x:c>
    </x:row>
    <x:row r="594" ht="18" customHeight="1">
      <x:c r="A594" s="99" t="str">
        <x:v>H</x:v>
      </x:c>
      <x:c r="B594" s="99" t="str">
        <x:v>动词</x:v>
      </x:c>
      <x:c r="C594" s="99" t="n">
        <x:v>2</x:v>
      </x:c>
      <x:c r="D594" s="99" t="str">
        <x:v>hate</x:v>
      </x:c>
      <x:c r="E594" s="99" t="str">
        <x:v>/heɪt/</x:v>
      </x:c>
      <x:c r="F594" s="99" t="str">
        <x:v>憎恨；厌恶</x:v>
      </x:c>
      <x:c r="G594" s="99" t="str">
        <x:v>2. hate /heɪt/ 憎恨；厌恶</x:v>
      </x:c>
    </x:row>
    <x:row r="595" ht="18" customHeight="1">
      <x:c r="A595" s="99" t="str">
        <x:v>H</x:v>
      </x:c>
      <x:c r="B595" s="99" t="str">
        <x:v>动词</x:v>
      </x:c>
      <x:c r="C595" s="99" t="n">
        <x:v>3</x:v>
      </x:c>
      <x:c r="D595" s="99" t="str">
        <x:v>have</x:v>
      </x:c>
      <x:c r="E595" s="99" t="str">
        <x:v>/hæv; həv/</x:v>
      </x:c>
      <x:c r="F595" s="99" t="str">
        <x:v>(has /hæz; həz/; had /hæd/) 有；拥有；吃；喝</x:v>
      </x:c>
      <x:c r="G595" s="99" t="str">
        <x:v>3. have /hæv; həv/ (has /hæz; həz/; had /hæd/) 有；拥有；吃；喝</x:v>
      </x:c>
    </x:row>
    <x:row r="596" ht="18" customHeight="1">
      <x:c r="A596" s="99" t="str">
        <x:v>H</x:v>
      </x:c>
      <x:c r="B596" s="99" t="str">
        <x:v>动词</x:v>
      </x:c>
      <x:c r="C596" s="99" t="n">
        <x:v>4</x:v>
      </x:c>
      <x:c r="D596" s="99" t="str">
        <x:v>hear</x:v>
      </x:c>
      <x:c r="E596" s="99" t="str">
        <x:v>/hɪə/</x:v>
      </x:c>
      <x:c r="F596" s="99" t="str">
        <x:v>(heard /hɜːd/; heard) 听见；听到</x:v>
      </x:c>
      <x:c r="G596" s="99" t="str">
        <x:v>4. hear /hɪə/ (heard /hɜːd/; heard) 听见；听到</x:v>
      </x:c>
    </x:row>
    <x:row r="597" ht="18" customHeight="1">
      <x:c r="A597" s="99" t="str">
        <x:v>H</x:v>
      </x:c>
      <x:c r="B597" s="99" t="str">
        <x:v>动词</x:v>
      </x:c>
      <x:c r="C597" s="99" t="n">
        <x:v>5</x:v>
      </x:c>
      <x:c r="D597" s="99" t="str">
        <x:v>help</x:v>
      </x:c>
      <x:c r="E597" s="99" t="str">
        <x:v>/help/</x:v>
      </x:c>
      <x:c r="F597" s="99" t="str">
        <x:v>帮助；援助</x:v>
      </x:c>
      <x:c r="G597" s="99" t="str">
        <x:v>5. help /help/ 帮助；援助</x:v>
      </x:c>
    </x:row>
    <x:row r="598" ht="18" customHeight="1">
      <x:c r="A598" s="99" t="str">
        <x:v>H</x:v>
      </x:c>
      <x:c r="B598" s="99" t="str">
        <x:v>动词</x:v>
      </x:c>
      <x:c r="C598" s="99" t="n">
        <x:v>6</x:v>
      </x:c>
      <x:c r="D598" s="99" t="str">
        <x:v>hide</x:v>
      </x:c>
      <x:c r="E598" s="99" t="str">
        <x:v>/haɪd/</x:v>
      </x:c>
      <x:c r="F598" s="99" t="str">
        <x:v>(hid /hɪd/; hidden /ˈhɪdn/) 躲；躲藏；隐藏</x:v>
      </x:c>
      <x:c r="G598" s="99" t="str">
        <x:v>6. hide /haɪd/ (hid /hɪd/; hidden /ˈhɪdn/) 躲；躲藏；隐藏</x:v>
      </x:c>
    </x:row>
    <x:row r="599" ht="18" customHeight="1">
      <x:c r="A599" s="99" t="str">
        <x:v>H</x:v>
      </x:c>
      <x:c r="B599" s="99" t="str">
        <x:v>动词</x:v>
      </x:c>
      <x:c r="C599" s="99" t="n">
        <x:v>7</x:v>
      </x:c>
      <x:c r="D599" s="99" t="str">
        <x:v>hit</x:v>
      </x:c>
      <x:c r="E599" s="99" t="str">
        <x:v>/hɪt/</x:v>
      </x:c>
      <x:c r="F599" s="99" t="str">
        <x:v>(hit; hit) 碰撞；打；击</x:v>
      </x:c>
      <x:c r="G599" s="99" t="str">
        <x:v>7. hit /hɪt/ (hit; hit) 碰撞；打；击</x:v>
      </x:c>
    </x:row>
    <x:row r="600" ht="18" customHeight="1">
      <x:c r="A600" s="99" t="str">
        <x:v>H</x:v>
      </x:c>
      <x:c r="B600" s="99" t="str">
        <x:v>动词</x:v>
      </x:c>
      <x:c r="C600" s="99" t="n">
        <x:v>8</x:v>
      </x:c>
      <x:c r="D600" s="99" t="str">
        <x:v>hold</x:v>
      </x:c>
      <x:c r="E600" s="99" t="str">
        <x:v>/həʊld/</x:v>
      </x:c>
      <x:c r="F600" s="99" t="str">
        <x:v>(held /held/; held) 握着；抓住；使不动</x:v>
      </x:c>
      <x:c r="G600" s="99" t="str">
        <x:v>8. hold /həʊld/ (held /held/; held) 握着；抓住；使不动</x:v>
      </x:c>
    </x:row>
    <x:row r="601" ht="18" customHeight="1">
      <x:c r="A601" s="99" t="str">
        <x:v>H</x:v>
      </x:c>
      <x:c r="B601" s="99" t="str">
        <x:v>动词</x:v>
      </x:c>
      <x:c r="C601" s="99" t="n">
        <x:v>9</x:v>
      </x:c>
      <x:c r="D601" s="99" t="str">
        <x:v>hope</x:v>
      </x:c>
      <x:c r="E601" s="99" t="str">
        <x:v>/həʊp/</x:v>
      </x:c>
      <x:c r="F601" s="99" t="str">
        <x:v>希望</x:v>
      </x:c>
      <x:c r="G601" s="99" t="str">
        <x:v>9. hope /həʊp/ 希望</x:v>
      </x:c>
    </x:row>
    <x:row r="602" ht="18" customHeight="1">
      <x:c r="A602" s="99" t="str">
        <x:v>H</x:v>
      </x:c>
      <x:c r="B602" s="99" t="str">
        <x:v>动词</x:v>
      </x:c>
      <x:c r="C602" s="99" t="n">
        <x:v>10</x:v>
      </x:c>
      <x:c r="D602" s="99" t="str">
        <x:v>hurry</x:v>
      </x:c>
      <x:c r="E602" s="99" t="str">
        <x:v>/ˈhʌri/</x:v>
      </x:c>
      <x:c r="F602" s="99" t="str">
        <x:v>赶快；匆忙</x:v>
      </x:c>
      <x:c r="G602" s="99" t="str">
        <x:v>10. hurry /ˈhʌri/ 赶快；匆忙</x:v>
      </x:c>
    </x:row>
    <x:row r="603" ht="18" customHeight="1">
      <x:c r="A603" s="99" t="str">
        <x:v>H</x:v>
      </x:c>
      <x:c r="B603" s="99" t="str">
        <x:v>形容词</x:v>
      </x:c>
      <x:c r="C603" s="99" t="n">
        <x:v>1</x:v>
      </x:c>
      <x:c r="D603" s="99" t="str">
        <x:v>happy</x:v>
      </x:c>
      <x:c r="E603" s="99" t="str">
        <x:v>/ˈhæpi/</x:v>
      </x:c>
      <x:c r="F603" s="99" t="str">
        <x:v>高兴的；幸福的</x:v>
      </x:c>
      <x:c r="G603" s="99" t="str">
        <x:v>1. happy /ˈhæpi/ 高兴的；幸福的</x:v>
      </x:c>
    </x:row>
    <x:row r="604" ht="18" customHeight="1">
      <x:c r="A604" s="99" t="str">
        <x:v>H</x:v>
      </x:c>
      <x:c r="B604" s="99" t="str">
        <x:v>形容词</x:v>
      </x:c>
      <x:c r="C604" s="99" t="n">
        <x:v>2</x:v>
      </x:c>
      <x:c r="D604" s="99" t="str">
        <x:v>hard</x:v>
      </x:c>
      <x:c r="E604" s="99" t="str">
        <x:v>/hɑːd/</x:v>
      </x:c>
      <x:c r="F604" s="99" t="str">
        <x:v>艰难的；困难的；硬的</x:v>
      </x:c>
      <x:c r="G604" s="99" t="str">
        <x:v>2. hard /hɑːd/ 艰难的；困难的；硬的</x:v>
      </x:c>
    </x:row>
    <x:row r="605" ht="18" customHeight="1">
      <x:c r="A605" s="99" t="str">
        <x:v>H</x:v>
      </x:c>
      <x:c r="B605" s="99" t="str">
        <x:v>形容词</x:v>
      </x:c>
      <x:c r="C605" s="99" t="n">
        <x:v>3</x:v>
      </x:c>
      <x:c r="D605" s="99" t="str">
        <x:v>harmful</x:v>
      </x:c>
      <x:c r="E605" s="99" t="str">
        <x:v>/ˈhɑːmfl/</x:v>
      </x:c>
      <x:c r="F605" s="99" t="str">
        <x:v>有害的</x:v>
      </x:c>
      <x:c r="G605" s="99" t="str">
        <x:v>3. harmful /ˈhɑːmfl/ 有害的</x:v>
      </x:c>
    </x:row>
    <x:row r="606" ht="18" customHeight="1">
      <x:c r="A606" s="99" t="str">
        <x:v>H</x:v>
      </x:c>
      <x:c r="B606" s="99" t="str">
        <x:v>形容词</x:v>
      </x:c>
      <x:c r="C606" s="99" t="n">
        <x:v>4</x:v>
      </x:c>
      <x:c r="D606" s="99" t="str">
        <x:v>helpful</x:v>
      </x:c>
      <x:c r="E606" s="99" t="str">
        <x:v>/ˈhelpfl/</x:v>
      </x:c>
      <x:c r="F606" s="99" t="str">
        <x:v>有用的；提供帮助的</x:v>
      </x:c>
      <x:c r="G606" s="99" t="str">
        <x:v>4. helpful /ˈhelpfl/ 有用的；提供帮助的</x:v>
      </x:c>
    </x:row>
    <x:row r="607" ht="18" customHeight="1">
      <x:c r="A607" s="99" t="str">
        <x:v>H</x:v>
      </x:c>
      <x:c r="B607" s="99" t="str">
        <x:v>形容词</x:v>
      </x:c>
      <x:c r="C607" s="99" t="n">
        <x:v>5</x:v>
      </x:c>
      <x:c r="D607" s="99" t="str">
        <x:v>healthy</x:v>
      </x:c>
      <x:c r="E607" s="99" t="str">
        <x:v>/ˈhelθi/</x:v>
      </x:c>
      <x:c r="F607" s="99" t="str">
        <x:v>健康的</x:v>
      </x:c>
      <x:c r="G607" s="99" t="str">
        <x:v>5. healthy /ˈhelθi/ 健康的</x:v>
      </x:c>
    </x:row>
    <x:row r="608" ht="18" customHeight="1">
      <x:c r="A608" s="99" t="str">
        <x:v>H</x:v>
      </x:c>
      <x:c r="B608" s="99" t="str">
        <x:v>形容词</x:v>
      </x:c>
      <x:c r="C608" s="99" t="n">
        <x:v>6</x:v>
      </x:c>
      <x:c r="D608" s="99" t="str">
        <x:v>heavy</x:v>
      </x:c>
      <x:c r="E608" s="99" t="str">
        <x:v>/ˈhevi/</x:v>
      </x:c>
      <x:c r="F608" s="99" t="str">
        <x:v>繁重的；沉的</x:v>
      </x:c>
      <x:c r="G608" s="99" t="str">
        <x:v>6. heavy /ˈhevi/ 繁重的；沉的</x:v>
      </x:c>
    </x:row>
    <x:row r="609" ht="18" customHeight="1">
      <x:c r="A609" s="99" t="str">
        <x:v>H</x:v>
      </x:c>
      <x:c r="B609" s="99" t="str">
        <x:v>形容词</x:v>
      </x:c>
      <x:c r="C609" s="99" t="n">
        <x:v>7</x:v>
      </x:c>
      <x:c r="D609" s="99" t="str">
        <x:v>high</x:v>
      </x:c>
      <x:c r="E609" s="99" t="str">
        <x:v>/haɪ/</x:v>
      </x:c>
      <x:c r="F609" s="99" t="str">
        <x:v>高的</x:v>
      </x:c>
      <x:c r="G609" s="99" t="str">
        <x:v>7. high /haɪ/ 高的</x:v>
      </x:c>
    </x:row>
    <x:row r="610" ht="18" customHeight="1">
      <x:c r="A610" s="99" t="str">
        <x:v>H</x:v>
      </x:c>
      <x:c r="B610" s="99" t="str">
        <x:v>形容词</x:v>
      </x:c>
      <x:c r="C610" s="99" t="n">
        <x:v>8</x:v>
      </x:c>
      <x:c r="D610" s="99" t="str">
        <x:v>hot</x:v>
      </x:c>
      <x:c r="E610" s="99" t="str">
        <x:v>/hɒt/</x:v>
      </x:c>
      <x:c r="F610" s="99" t="str">
        <x:v>热的</x:v>
      </x:c>
      <x:c r="G610" s="99" t="str">
        <x:v>8. hot /hɒt/ 热的</x:v>
      </x:c>
    </x:row>
    <x:row r="611" ht="18" customHeight="1">
      <x:c r="A611" s="99" t="str">
        <x:v>H</x:v>
      </x:c>
      <x:c r="B611" s="99" t="str">
        <x:v>形容词</x:v>
      </x:c>
      <x:c r="C611" s="99" t="n">
        <x:v>9</x:v>
      </x:c>
      <x:c r="D611" s="99" t="str">
        <x:v>hungry</x:v>
      </x:c>
      <x:c r="E611" s="99" t="str">
        <x:v>/ˈhʌŋɡri/</x:v>
      </x:c>
      <x:c r="F611" s="99" t="str">
        <x:v>饥饿的；感到饿的</x:v>
      </x:c>
      <x:c r="G611" s="99" t="str">
        <x:v>9. hungry /ˈhʌŋɡri/ 饥饿的；感到饿的</x:v>
      </x:c>
    </x:row>
    <x:row r="612" ht="18" customHeight="1">
      <x:c r="A612" s="99" t="str">
        <x:v>H</x:v>
      </x:c>
      <x:c r="B612" s="99" t="str">
        <x:v>形容词</x:v>
      </x:c>
      <x:c r="C612" s="99" t="n">
        <x:v>10</x:v>
      </x:c>
      <x:c r="D612" s="99" t="str">
        <x:v>humorous</x:v>
      </x:c>
      <x:c r="E612" s="99" t="str">
        <x:v>/ˈhjuːmərəs/</x:v>
      </x:c>
      <x:c r="F612" s="99" t="str">
        <x:v>幽默的；滑稽的</x:v>
      </x:c>
      <x:c r="G612" s="99" t="str">
        <x:v>10. humorous /ˈhjuːmərəs/ 幽默的；滑稽的</x:v>
      </x:c>
    </x:row>
    <x:row r="613" ht="18" customHeight="1">
      <x:c r="A613" s="99" t="str">
        <x:v>H</x:v>
      </x:c>
      <x:c r="B613" s="99" t="str">
        <x:v>副词</x:v>
      </x:c>
      <x:c r="C613" s="99" t="n">
        <x:v>1</x:v>
      </x:c>
      <x:c r="D613" s="99" t="str">
        <x:v>hard</x:v>
      </x:c>
      <x:c r="E613" s="99" t="str">
        <x:v>/hɑːd/</x:v>
      </x:c>
      <x:c r="F613" s="99" t="str">
        <x:v>努力地；猛烈地</x:v>
      </x:c>
      <x:c r="G613" s="99" t="str">
        <x:v>1. hard /hɑːd/ 努力地；猛烈地</x:v>
      </x:c>
    </x:row>
    <x:row r="614" ht="18" customHeight="1">
      <x:c r="A614" s="99" t="str">
        <x:v>H</x:v>
      </x:c>
      <x:c r="B614" s="99" t="str">
        <x:v>副词</x:v>
      </x:c>
      <x:c r="C614" s="99" t="n">
        <x:v>2</x:v>
      </x:c>
      <x:c r="D614" s="99" t="str">
        <x:v>hardly</x:v>
      </x:c>
      <x:c r="E614" s="99" t="str">
        <x:v>/ˈhɑːdli/</x:v>
      </x:c>
      <x:c r="F614" s="99" t="str">
        <x:v>几乎不；几乎没有</x:v>
      </x:c>
      <x:c r="G614" s="99" t="str">
        <x:v>2. hardly /ˈhɑːdli/ 几乎不；几乎没有</x:v>
      </x:c>
    </x:row>
    <x:row r="615" ht="18" customHeight="1">
      <x:c r="A615" s="99" t="str">
        <x:v>H</x:v>
      </x:c>
      <x:c r="B615" s="99" t="str">
        <x:v>副词</x:v>
      </x:c>
      <x:c r="C615" s="99" t="n">
        <x:v>3</x:v>
      </x:c>
      <x:c r="D615" s="99" t="str">
        <x:v>here</x:v>
      </x:c>
      <x:c r="E615" s="99" t="str">
        <x:v>/hɪə/</x:v>
      </x:c>
      <x:c r="F615" s="99" t="str">
        <x:v>这里；在这里</x:v>
      </x:c>
      <x:c r="G615" s="99" t="str">
        <x:v>3. here /hɪə/ 这里；在这里</x:v>
      </x:c>
    </x:row>
    <x:row r="616" ht="18" customHeight="1">
      <x:c r="A616" s="99" t="str">
        <x:v>H</x:v>
      </x:c>
      <x:c r="B616" s="99" t="str">
        <x:v>副词</x:v>
      </x:c>
      <x:c r="C616" s="99" t="n">
        <x:v>4</x:v>
      </x:c>
      <x:c r="D616" s="99" t="str">
        <x:v>high</x:v>
      </x:c>
      <x:c r="E616" s="99" t="str">
        <x:v>/haɪ/</x:v>
      </x:c>
      <x:c r="F616" s="99" t="str">
        <x:v>高；高高地</x:v>
      </x:c>
      <x:c r="G616" s="99" t="str">
        <x:v>4. high /haɪ/ 高；高高地</x:v>
      </x:c>
    </x:row>
    <x:row r="617" ht="18" customHeight="1">
      <x:c r="A617" s="99" t="str">
        <x:v>H</x:v>
      </x:c>
      <x:c r="B617" s="99" t="str">
        <x:v>副词</x:v>
      </x:c>
      <x:c r="C617" s="99" t="n">
        <x:v>5</x:v>
      </x:c>
      <x:c r="D617" s="99" t="str">
        <x:v>home</x:v>
      </x:c>
      <x:c r="E617" s="99" t="str">
        <x:v>/həʊm/</x:v>
      </x:c>
      <x:c r="F617" s="99" t="str">
        <x:v>到家；在家；回家</x:v>
      </x:c>
      <x:c r="G617" s="99" t="str">
        <x:v>5. home /həʊm/ 到家；在家；回家</x:v>
      </x:c>
    </x:row>
    <x:row r="618" ht="18" customHeight="1">
      <x:c r="A618" s="99" t="str">
        <x:v>H</x:v>
      </x:c>
      <x:c r="B618" s="99" t="str">
        <x:v>介词</x:v>
      </x:c>
      <x:c r="C618" s="99" t="str"/>
      <x:c r="D618" s="99" t="str">
        <x:v>无纯介词。</x:v>
      </x:c>
      <x:c r="E618" s="99" t="str"/>
      <x:c r="F618" s="99" t="str"/>
      <x:c r="G618" s="99" t="str">
        <x:v>无纯介词。</x:v>
      </x:c>
    </x:row>
    <x:row r="619" ht="18" customHeight="1">
      <x:c r="A619" s="99" t="str">
        <x:v>H</x:v>
      </x:c>
      <x:c r="B619" s="99" t="str">
        <x:v>代词</x:v>
      </x:c>
      <x:c r="C619" s="99" t="n">
        <x:v>1</x:v>
      </x:c>
      <x:c r="D619" s="99" t="str">
        <x:v>he</x:v>
      </x:c>
      <x:c r="E619" s="99" t="str">
        <x:v>/hiː; iː/</x:v>
      </x:c>
      <x:c r="F619" s="99" t="str">
        <x:v>他</x:v>
      </x:c>
      <x:c r="G619" s="99" t="str">
        <x:v>1. he /hiː; iː/ 他</x:v>
      </x:c>
    </x:row>
    <x:row r="620" ht="18" customHeight="1">
      <x:c r="A620" s="99" t="str">
        <x:v>H</x:v>
      </x:c>
      <x:c r="B620" s="99" t="str">
        <x:v>代词</x:v>
      </x:c>
      <x:c r="C620" s="99" t="n">
        <x:v>2</x:v>
      </x:c>
      <x:c r="D620" s="99" t="str">
        <x:v>her</x:v>
      </x:c>
      <x:c r="E620" s="99" t="str">
        <x:v>/hɜː; ə/</x:v>
      </x:c>
      <x:c r="F620" s="99" t="str">
        <x:v>她（宾格）；她的（形容词性物主代词）</x:v>
      </x:c>
      <x:c r="G620" s="99" t="str">
        <x:v>2. her /hɜː; ə/ 她（宾格）；她的（形容词性物主代词）</x:v>
      </x:c>
    </x:row>
    <x:row r="621" ht="18" customHeight="1">
      <x:c r="A621" s="99" t="str">
        <x:v>H</x:v>
      </x:c>
      <x:c r="B621" s="99" t="str">
        <x:v>代词</x:v>
      </x:c>
      <x:c r="C621" s="99" t="n">
        <x:v>3</x:v>
      </x:c>
      <x:c r="D621" s="99" t="str">
        <x:v>hers</x:v>
      </x:c>
      <x:c r="E621" s="99" t="str">
        <x:v>/hɜːz/</x:v>
      </x:c>
      <x:c r="F621" s="99" t="str">
        <x:v>她的（名词性物主代词）</x:v>
      </x:c>
      <x:c r="G621" s="99" t="str">
        <x:v>3. hers /hɜːz/ 她的（名词性物主代词）</x:v>
      </x:c>
    </x:row>
    <x:row r="622" ht="18" customHeight="1">
      <x:c r="A622" s="99" t="str">
        <x:v>H</x:v>
      </x:c>
      <x:c r="B622" s="99" t="str">
        <x:v>代词</x:v>
      </x:c>
      <x:c r="C622" s="99" t="n">
        <x:v>4</x:v>
      </x:c>
      <x:c r="D622" s="99" t="str">
        <x:v>herself</x:v>
      </x:c>
      <x:c r="E622" s="99" t="str">
        <x:v>/hɜːˈself/</x:v>
      </x:c>
      <x:c r="F622" s="99" t="str">
        <x:v>她自己</x:v>
      </x:c>
      <x:c r="G622" s="99" t="str">
        <x:v>4. herself /hɜːˈself/ 她自己</x:v>
      </x:c>
    </x:row>
    <x:row r="623" ht="18" customHeight="1">
      <x:c r="A623" s="99" t="str">
        <x:v>H</x:v>
      </x:c>
      <x:c r="B623" s="99" t="str">
        <x:v>代词</x:v>
      </x:c>
      <x:c r="C623" s="99" t="n">
        <x:v>5</x:v>
      </x:c>
      <x:c r="D623" s="99" t="str">
        <x:v>him</x:v>
      </x:c>
      <x:c r="E623" s="99" t="str">
        <x:v>/hɪm/</x:v>
      </x:c>
      <x:c r="F623" s="99" t="str">
        <x:v>他（宾格）</x:v>
      </x:c>
      <x:c r="G623" s="99" t="str">
        <x:v>5. him /hɪm/ 他（宾格）</x:v>
      </x:c>
    </x:row>
    <x:row r="624" ht="18" customHeight="1">
      <x:c r="A624" s="99" t="str">
        <x:v>H</x:v>
      </x:c>
      <x:c r="B624" s="99" t="str">
        <x:v>代词</x:v>
      </x:c>
      <x:c r="C624" s="99" t="n">
        <x:v>6</x:v>
      </x:c>
      <x:c r="D624" s="99" t="str">
        <x:v>his</x:v>
      </x:c>
      <x:c r="E624" s="99" t="str">
        <x:v>/hɪz/</x:v>
      </x:c>
      <x:c r="F624" s="99" t="str">
        <x:v>他的（形容词性/名词性物主代词）</x:v>
      </x:c>
      <x:c r="G624" s="99" t="str">
        <x:v>6. his /hɪz/ 他的（形容词性/名词性物主代词）</x:v>
      </x:c>
    </x:row>
    <x:row r="625" ht="18" customHeight="1">
      <x:c r="A625" s="99" t="str">
        <x:v>H</x:v>
      </x:c>
      <x:c r="B625" s="99" t="str">
        <x:v>数词</x:v>
      </x:c>
      <x:c r="C625" s="99" t="n">
        <x:v>1</x:v>
      </x:c>
      <x:c r="D625" s="99" t="str">
        <x:v>half</x:v>
      </x:c>
      <x:c r="E625" s="99" t="str">
        <x:v>/hɑːf/</x:v>
      </x:c>
      <x:c r="F625" s="99" t="str">
        <x:v>一半；二分之一</x:v>
      </x:c>
      <x:c r="G625" s="99" t="str">
        <x:v>1. half /hɑːf/ 一半；二分之一</x:v>
      </x:c>
    </x:row>
    <x:row r="626" ht="18" customHeight="1">
      <x:c r="A626" s="99" t="str">
        <x:v>H</x:v>
      </x:c>
      <x:c r="B626" s="99" t="str">
        <x:v>数词</x:v>
      </x:c>
      <x:c r="C626" s="99" t="n">
        <x:v>2</x:v>
      </x:c>
      <x:c r="D626" s="99" t="str">
        <x:v>hundred</x:v>
      </x:c>
      <x:c r="E626" s="99" t="str">
        <x:v>/ˈhʌndrəd/</x:v>
      </x:c>
      <x:c r="F626" s="99" t="str">
        <x:v>百；一百</x:v>
      </x:c>
      <x:c r="G626" s="99" t="str">
        <x:v>2. hundred /ˈhʌndrəd/ 百；一百</x:v>
      </x:c>
    </x:row>
    <x:row r="627" ht="18" customHeight="1">
      <x:c r="A627" s="99" t="str">
        <x:v>H</x:v>
      </x:c>
      <x:c r="B627" s="99" t="str">
        <x:v>感叹词</x:v>
      </x:c>
      <x:c r="C627" s="99" t="n">
        <x:v>1</x:v>
      </x:c>
      <x:c r="D627" s="99" t="str">
        <x:v>ha ha</x:v>
      </x:c>
      <x:c r="E627" s="99" t="str">
        <x:v>/hɑː hɑː/</x:v>
      </x:c>
      <x:c r="F627" s="99" t="str">
        <x:v>哈哈（表笑声）</x:v>
      </x:c>
      <x:c r="G627" s="99" t="str">
        <x:v>1. ha ha /hɑː hɑː/ 哈哈（表笑声）</x:v>
      </x:c>
    </x:row>
    <x:row r="628" ht="18" customHeight="1">
      <x:c r="A628" s="99" t="str">
        <x:v>H</x:v>
      </x:c>
      <x:c r="B628" s="99" t="str">
        <x:v>感叹词</x:v>
      </x:c>
      <x:c r="C628" s="99" t="n">
        <x:v>2</x:v>
      </x:c>
      <x:c r="D628" s="99" t="str">
        <x:v>hello</x:v>
      </x:c>
      <x:c r="E628" s="99" t="str">
        <x:v>/həˈləʊ/</x:v>
      </x:c>
      <x:c r="F628" s="99" t="str">
        <x:v>喂；你好</x:v>
      </x:c>
      <x:c r="G628" s="99" t="str">
        <x:v>2. hello /həˈləʊ/ 喂；你好</x:v>
      </x:c>
    </x:row>
    <x:row r="629" ht="18" customHeight="1">
      <x:c r="A629" s="99" t="str">
        <x:v>H</x:v>
      </x:c>
      <x:c r="B629" s="99" t="str">
        <x:v>感叹词</x:v>
      </x:c>
      <x:c r="C629" s="99" t="n">
        <x:v>3</x:v>
      </x:c>
      <x:c r="D629" s="99" t="str">
        <x:v>hey</x:v>
      </x:c>
      <x:c r="E629" s="99" t="str">
        <x:v>/heɪ/</x:v>
      </x:c>
      <x:c r="F629" s="99" t="str">
        <x:v>嘿；喂</x:v>
      </x:c>
      <x:c r="G629" s="99" t="str">
        <x:v>3. hey /heɪ/ 嘿；喂</x:v>
      </x:c>
    </x:row>
    <x:row r="630" ht="18" customHeight="1">
      <x:c r="A630" s="99" t="str">
        <x:v>H</x:v>
      </x:c>
      <x:c r="B630" s="99" t="str">
        <x:v>感叹词</x:v>
      </x:c>
      <x:c r="C630" s="99" t="n">
        <x:v>4</x:v>
      </x:c>
      <x:c r="D630" s="99" t="str">
        <x:v>hi</x:v>
      </x:c>
      <x:c r="E630" s="99" t="str">
        <x:v>/haɪ/</x:v>
      </x:c>
      <x:c r="F630" s="99" t="str">
        <x:v>嗨；喂</x:v>
      </x:c>
      <x:c r="G630" s="99" t="str">
        <x:v>4. hi /haɪ/ 嗨；喂</x:v>
      </x:c>
    </x:row>
    <x:row r="631" ht="18" customHeight="1">
      <x:c r="A631" s="99" t="str">
        <x:v>H</x:v>
      </x:c>
      <x:c r="B631" s="99" t="str">
        <x:v>短语</x:v>
      </x:c>
      <x:c r="C631" s="99" t="n">
        <x:v>1</x:v>
      </x:c>
      <x:c r="D631" s="99" t="str">
        <x:v>hang</x:v>
      </x:c>
      <x:c r="E631" s="99" t="str"/>
      <x:c r="F631" s="99" t="str">
        <x:v>on [口] 稍等</x:v>
      </x:c>
      <x:c r="G631" s="99" t="str">
        <x:v>1. hang on [口] 稍等</x:v>
      </x:c>
    </x:row>
    <x:row r="632" ht="18" customHeight="1">
      <x:c r="A632" s="99" t="str">
        <x:v>H</x:v>
      </x:c>
      <x:c r="B632" s="99" t="str">
        <x:v>短语</x:v>
      </x:c>
      <x:c r="C632" s="99" t="n">
        <x:v>2</x:v>
      </x:c>
      <x:c r="D632" s="99" t="str">
        <x:v>head</x:v>
      </x:c>
      <x:c r="E632" s="99" t="str"/>
      <x:c r="F632" s="99" t="str">
        <x:v>teacher 校长</x:v>
      </x:c>
      <x:c r="G632" s="99" t="str">
        <x:v>2. head teacher 校长</x:v>
      </x:c>
    </x:row>
    <x:row r="633" ht="18" customHeight="1">
      <x:c r="A633" s="99" t="str">
        <x:v>H</x:v>
      </x:c>
      <x:c r="B633" s="99" t="str">
        <x:v>短语</x:v>
      </x:c>
      <x:c r="C633" s="99" t="n">
        <x:v>3</x:v>
      </x:c>
      <x:c r="D633" s="99" t="str">
        <x:v>hear</x:v>
      </x:c>
      <x:c r="E633" s="99" t="str"/>
      <x:c r="F633" s="99" t="str">
        <x:v>from 收到……的来信</x:v>
      </x:c>
      <x:c r="G633" s="99" t="str">
        <x:v>3. hear from 收到……的来信</x:v>
      </x:c>
    </x:row>
    <x:row r="634" ht="18" customHeight="1">
      <x:c r="A634" s="99" t="str">
        <x:v>H</x:v>
      </x:c>
      <x:c r="B634" s="99" t="str">
        <x:v>短语</x:v>
      </x:c>
      <x:c r="C634" s="99" t="n">
        <x:v>4</x:v>
      </x:c>
      <x:c r="D634" s="99" t="str">
        <x:v>How</x:v>
      </x:c>
      <x:c r="E634" s="99" t="str"/>
      <x:c r="F634" s="99" t="str">
        <x:v>about...? （征求意见）……好吗？……行吗？</x:v>
      </x:c>
      <x:c r="G634" s="99" t="str">
        <x:v>4. How about...? （征求意见）……好吗？……行吗？</x:v>
      </x:c>
    </x:row>
    <x:row r="635" ht="18" customHeight="1">
      <x:c r="A635" s="99" t="str">
        <x:v>H</x:v>
      </x:c>
      <x:c r="B635" s="99" t="str">
        <x:v>短语</x:v>
      </x:c>
      <x:c r="C635" s="99" t="n">
        <x:v>5</x:v>
      </x:c>
      <x:c r="D635" s="99" t="str">
        <x:v>hundreds</x:v>
      </x:c>
      <x:c r="E635" s="99" t="str"/>
      <x:c r="F635" s="99" t="str">
        <x:v>of 几百；成百上千</x:v>
      </x:c>
      <x:c r="G635" s="99" t="str">
        <x:v>5. hundreds of 几百；成百上千</x:v>
      </x:c>
    </x:row>
    <x:row r="636" ht="18" customHeight="1">
      <x:c r="A636" s="99" t="str">
        <x:v>H</x:v>
      </x:c>
      <x:c r="B636" s="99" t="str">
        <x:v>短语</x:v>
      </x:c>
      <x:c r="C636" s="99" t="n">
        <x:v>6</x:v>
      </x:c>
      <x:c r="D636" s="99" t="str">
        <x:v>hurry</x:v>
      </x:c>
      <x:c r="E636" s="99" t="str"/>
      <x:c r="F636" s="99" t="str">
        <x:v>up 赶快；赶快</x:v>
      </x:c>
      <x:c r="G636" s="99" t="str">
        <x:v>6. hurry up 赶快；赶快</x:v>
      </x:c>
    </x:row>
    <x:row r="637" ht="18" customHeight="1">
      <x:c r="A637" s="99" t="str">
        <x:v>H</x:v>
      </x:c>
      <x:c r="B637" s="99" t="str">
        <x:v>短语</x:v>
      </x:c>
      <x:c r="C637" s="99" t="n">
        <x:v>7</x:v>
      </x:c>
      <x:c r="D637" s="99" t="str">
        <x:v>have</x:v>
      </x:c>
      <x:c r="E637" s="99" t="str"/>
      <x:c r="F637" s="99" t="str">
        <x:v>a look 看一看</x:v>
      </x:c>
      <x:c r="G637" s="99" t="str">
        <x:v>7. have a look 看一看</x:v>
      </x:c>
    </x:row>
    <x:row r="638" ht="18" customHeight="1">
      <x:c r="A638" s="99" t="str">
        <x:v>H</x:v>
      </x:c>
      <x:c r="B638" s="99" t="str">
        <x:v>短语</x:v>
      </x:c>
      <x:c r="C638" s="99" t="n">
        <x:v>8</x:v>
      </x:c>
      <x:c r="D638" s="99" t="str">
        <x:v>have</x:v>
      </x:c>
      <x:c r="E638" s="99" t="str"/>
      <x:c r="F638" s="99" t="str">
        <x:v>a good time 玩得高兴</x:v>
      </x:c>
      <x:c r="G638" s="99" t="str">
        <x:v>8. have a good time 玩得高兴</x:v>
      </x:c>
    </x:row>
    <x:row r="639" ht="18" customHeight="1">
      <x:c r="A639" s="99" t="str">
        <x:v>H</x:v>
      </x:c>
      <x:c r="B639" s="99" t="str">
        <x:v>短语</x:v>
      </x:c>
      <x:c r="C639" s="99" t="n">
        <x:v>9</x:v>
      </x:c>
      <x:c r="D639" s="99" t="str">
        <x:v>have</x:v>
      </x:c>
      <x:c r="E639" s="99" t="str"/>
      <x:c r="F639" s="99" t="str">
        <x:v>got 有；拥有</x:v>
      </x:c>
      <x:c r="G639" s="99" t="str">
        <x:v>9. have got 有；拥有</x:v>
      </x:c>
    </x:row>
    <x:row r="640" ht="18" customHeight="1">
      <x:c r="A640" s="99" t="str">
        <x:v>H</x:v>
      </x:c>
      <x:c r="B640" s="99" t="str">
        <x:v>短语</x:v>
      </x:c>
      <x:c r="C640" s="99" t="n">
        <x:v>10</x:v>
      </x:c>
      <x:c r="D640" s="99" t="str">
        <x:v>hold</x:v>
      </x:c>
      <x:c r="E640" s="99" t="str"/>
      <x:c r="F640" s="99" t="str">
        <x:v>on 等一下；别挂断</x:v>
      </x:c>
      <x:c r="G640" s="99" t="str">
        <x:v>10. hold on 等一下；别挂断</x:v>
      </x:c>
    </x:row>
    <x:row r="641" ht="18" customHeight="1">
      <x:c r="A641" s="99" t="str">
        <x:v>H</x:v>
      </x:c>
      <x:c r="B641" s="99" t="str">
        <x:v>短语</x:v>
      </x:c>
      <x:c r="C641" s="99" t="n">
        <x:v>11</x:v>
      </x:c>
      <x:c r="D641" s="99" t="str">
        <x:v>home</x:v>
      </x:c>
      <x:c r="E641" s="99" t="str"/>
      <x:c r="F641" s="99" t="str">
        <x:v>stay 家庭寄宿</x:v>
      </x:c>
      <x:c r="G641" s="99" t="str">
        <x:v>11. home stay 家庭寄宿</x:v>
      </x:c>
    </x:row>
    <x:row r="642" ht="18" customHeight="1">
      <x:c r="A642" s="99" t="str">
        <x:v>H</x:v>
      </x:c>
      <x:c r="B642" s="99" t="str">
        <x:v>短语</x:v>
      </x:c>
      <x:c r="C642" s="99" t="n">
        <x:v>12</x:v>
      </x:c>
      <x:c r="D642" s="99" t="str">
        <x:v>hot</x:v>
      </x:c>
      <x:c r="E642" s="99" t="str"/>
      <x:c r="F642" s="99" t="str">
        <x:v>dog 热狗（一种中间夹香肠的三明治）</x:v>
      </x:c>
      <x:c r="G642" s="99" t="str">
        <x:v>12. hot dog 热狗（一种中间夹香肠的三明治）</x:v>
      </x:c>
    </x:row>
    <x:row r="643" ht="18" customHeight="1">
      <x:c r="A643" s="99" t="str">
        <x:v>I</x:v>
      </x:c>
      <x:c r="B643" s="99" t="str">
        <x:v>名词</x:v>
      </x:c>
      <x:c r="C643" s="99" t="n">
        <x:v>1</x:v>
      </x:c>
      <x:c r="D643" s="99" t="str">
        <x:v>ice</x:v>
      </x:c>
      <x:c r="E643" s="99" t="str">
        <x:v>/aɪs/</x:v>
      </x:c>
      <x:c r="F643" s="99" t="str">
        <x:v>冰</x:v>
      </x:c>
      <x:c r="G643" s="99" t="str">
        <x:v>1. ice /aɪs/ 冰</x:v>
      </x:c>
    </x:row>
    <x:row r="644" ht="18" customHeight="1">
      <x:c r="A644" s="99" t="str">
        <x:v>I</x:v>
      </x:c>
      <x:c r="B644" s="99" t="str">
        <x:v>名词</x:v>
      </x:c>
      <x:c r="C644" s="99" t="n">
        <x:v>2</x:v>
      </x:c>
      <x:c r="D644" s="99" t="str">
        <x:v>ice cream</x:v>
      </x:c>
      <x:c r="E644" s="99" t="str">
        <x:v>/aɪs kriːm/</x:v>
      </x:c>
      <x:c r="F644" s="99" t="str">
        <x:v>冰激凌</x:v>
      </x:c>
      <x:c r="G644" s="99" t="str">
        <x:v>2. ice cream /aɪs kriːm/ 冰激凌</x:v>
      </x:c>
    </x:row>
    <x:row r="645" ht="18" customHeight="1">
      <x:c r="A645" s="99" t="str">
        <x:v>I</x:v>
      </x:c>
      <x:c r="B645" s="99" t="str">
        <x:v>名词</x:v>
      </x:c>
      <x:c r="C645" s="99" t="n">
        <x:v>3</x:v>
      </x:c>
      <x:c r="D645" s="99" t="str">
        <x:v>idea</x:v>
      </x:c>
      <x:c r="E645" s="99" t="str">
        <x:v>/aɪˈdɪə/</x:v>
      </x:c>
      <x:c r="F645" s="99" t="str">
        <x:v>想法；主意</x:v>
      </x:c>
      <x:c r="G645" s="99" t="str">
        <x:v>3. idea /aɪˈdɪə/ 想法；主意</x:v>
      </x:c>
    </x:row>
    <x:row r="646" ht="18" customHeight="1">
      <x:c r="A646" s="99" t="str">
        <x:v>I</x:v>
      </x:c>
      <x:c r="B646" s="99" t="str">
        <x:v>名词</x:v>
      </x:c>
      <x:c r="C646" s="99" t="n">
        <x:v>4</x:v>
      </x:c>
      <x:c r="D646" s="99" t="str">
        <x:v>illness</x:v>
      </x:c>
      <x:c r="E646" s="99" t="str">
        <x:v>/ˈɪlnəs/</x:v>
      </x:c>
      <x:c r="F646" s="99" t="str">
        <x:v>病；疾病</x:v>
      </x:c>
      <x:c r="G646" s="99" t="str">
        <x:v>4. illness /ˈɪlnəs/ 病；疾病</x:v>
      </x:c>
    </x:row>
    <x:row r="647" ht="18" customHeight="1">
      <x:c r="A647" s="99" t="str">
        <x:v>I</x:v>
      </x:c>
      <x:c r="B647" s="99" t="str">
        <x:v>名词</x:v>
      </x:c>
      <x:c r="C647" s="99" t="n">
        <x:v>5</x:v>
      </x:c>
      <x:c r="D647" s="99" t="str">
        <x:v>information</x:v>
      </x:c>
      <x:c r="E647" s="99" t="str">
        <x:v>/ˌɪnfəˈmeɪʃn/</x:v>
      </x:c>
      <x:c r="F647" s="99" t="str">
        <x:v>信息</x:v>
      </x:c>
      <x:c r="G647" s="99" t="str">
        <x:v>5. information /ˌɪnfəˈmeɪʃn/ 信息</x:v>
      </x:c>
    </x:row>
    <x:row r="648" ht="18" customHeight="1">
      <x:c r="A648" s="99" t="str">
        <x:v>I</x:v>
      </x:c>
      <x:c r="B648" s="99" t="str">
        <x:v>名词</x:v>
      </x:c>
      <x:c r="C648" s="99" t="n">
        <x:v>6</x:v>
      </x:c>
      <x:c r="D648" s="99" t="str">
        <x:v>interest</x:v>
      </x:c>
      <x:c r="E648" s="99" t="str">
        <x:v>/ˈɪntrəst/</x:v>
      </x:c>
      <x:c r="F648" s="99" t="str">
        <x:v>兴趣；爱好</x:v>
      </x:c>
      <x:c r="G648" s="99" t="str">
        <x:v>6. interest /ˈɪntrəst/ 兴趣；爱好</x:v>
      </x:c>
    </x:row>
    <x:row r="649" ht="18" customHeight="1">
      <x:c r="A649" s="99" t="str">
        <x:v>I</x:v>
      </x:c>
      <x:c r="B649" s="99" t="str">
        <x:v>名词</x:v>
      </x:c>
      <x:c r="C649" s="99" t="n">
        <x:v>7</x:v>
      </x:c>
      <x:c r="D649" s="99" t="str">
        <x:v>Internet</x:v>
      </x:c>
      <x:c r="E649" s="99" t="str">
        <x:v>/ˈɪntənet/</x:v>
      </x:c>
      <x:c r="F649" s="99" t="str">
        <x:v>因特网</x:v>
      </x:c>
      <x:c r="G649" s="99" t="str">
        <x:v>7. Internet /ˈɪntənet/ 因特网</x:v>
      </x:c>
    </x:row>
    <x:row r="650" ht="18" customHeight="1">
      <x:c r="A650" s="99" t="str">
        <x:v>I</x:v>
      </x:c>
      <x:c r="B650" s="99" t="str">
        <x:v>名词</x:v>
      </x:c>
      <x:c r="C650" s="99" t="n">
        <x:v>8</x:v>
      </x:c>
      <x:c r="D650" s="99" t="str">
        <x:v>interview</x:v>
      </x:c>
      <x:c r="E650" s="99" t="str">
        <x:v>/ˈɪntəvjuː/</x:v>
      </x:c>
      <x:c r="F650" s="99" t="str">
        <x:v>采访；访谈</x:v>
      </x:c>
      <x:c r="G650" s="99" t="str">
        <x:v>8. interview /ˈɪntəvjuː/ 采访；访谈</x:v>
      </x:c>
    </x:row>
    <x:row r="651" ht="18" customHeight="1">
      <x:c r="A651" s="99" t="str">
        <x:v>I</x:v>
      </x:c>
      <x:c r="B651" s="99" t="str">
        <x:v>名词</x:v>
      </x:c>
      <x:c r="C651" s="99" t="n">
        <x:v>9</x:v>
      </x:c>
      <x:c r="D651" s="99" t="str">
        <x:v>island</x:v>
      </x:c>
      <x:c r="E651" s="99" t="str">
        <x:v>/ˈaɪlənd/</x:v>
      </x:c>
      <x:c r="F651" s="99" t="str">
        <x:v>岛；岛屿</x:v>
      </x:c>
      <x:c r="G651" s="99" t="str">
        <x:v>9. island /ˈaɪlənd/ 岛；岛屿</x:v>
      </x:c>
    </x:row>
    <x:row r="652" ht="18" customHeight="1">
      <x:c r="A652" s="99" t="str">
        <x:v>I</x:v>
      </x:c>
      <x:c r="B652" s="99" t="str">
        <x:v>名词</x:v>
      </x:c>
      <x:c r="C652" s="99" t="n">
        <x:v>10</x:v>
      </x:c>
      <x:c r="D652" s="99" t="str">
        <x:v>IT</x:v>
      </x:c>
      <x:c r="E652" s="99" t="str">
        <x:v>/ˌaɪˈtiː/</x:v>
      </x:c>
      <x:c r="F652" s="99" t="str">
        <x:v>信息技术</x:v>
      </x:c>
      <x:c r="G652" s="99" t="str">
        <x:v>10. IT /ˌaɪˈtiː/ 信息技术</x:v>
      </x:c>
    </x:row>
    <x:row r="653" ht="18" customHeight="1">
      <x:c r="A653" s="99" t="str">
        <x:v>I</x:v>
      </x:c>
      <x:c r="B653" s="99" t="str">
        <x:v>动词</x:v>
      </x:c>
      <x:c r="C653" s="99" t="n">
        <x:v>1</x:v>
      </x:c>
      <x:c r="D653" s="99" t="str">
        <x:v>imagine</x:v>
      </x:c>
      <x:c r="E653" s="99" t="str">
        <x:v>/ɪˈmædʒɪn/</x:v>
      </x:c>
      <x:c r="F653" s="99" t="str">
        <x:v>想象；设想</x:v>
      </x:c>
      <x:c r="G653" s="99" t="str">
        <x:v>1. imagine /ɪˈmædʒɪn/ 想象；设想</x:v>
      </x:c>
    </x:row>
    <x:row r="654" ht="18" customHeight="1">
      <x:c r="A654" s="99" t="str">
        <x:v>I</x:v>
      </x:c>
      <x:c r="B654" s="99" t="str">
        <x:v>动词</x:v>
      </x:c>
      <x:c r="C654" s="99" t="n">
        <x:v>2</x:v>
      </x:c>
      <x:c r="D654" s="99" t="str">
        <x:v>improve</x:v>
      </x:c>
      <x:c r="E654" s="99" t="str">
        <x:v>/ɪmˈpruːv/</x:v>
      </x:c>
      <x:c r="F654" s="99" t="str">
        <x:v>改进；改善</x:v>
      </x:c>
      <x:c r="G654" s="99" t="str">
        <x:v>2. improve /ɪmˈpruːv/ 改进；改善</x:v>
      </x:c>
    </x:row>
    <x:row r="655" ht="18" customHeight="1">
      <x:c r="A655" s="99" t="str">
        <x:v>I</x:v>
      </x:c>
      <x:c r="B655" s="99" t="str">
        <x:v>动词</x:v>
      </x:c>
      <x:c r="C655" s="99" t="n">
        <x:v>3</x:v>
      </x:c>
      <x:c r="D655" s="99" t="str">
        <x:v>include</x:v>
      </x:c>
      <x:c r="E655" s="99" t="str">
        <x:v>/ɪnˈkluːd/</x:v>
      </x:c>
      <x:c r="F655" s="99" t="str">
        <x:v>包括；把……列为一部分</x:v>
      </x:c>
      <x:c r="G655" s="99" t="str">
        <x:v>3. include /ɪnˈkluːd/ 包括；把……列为一部分</x:v>
      </x:c>
    </x:row>
    <x:row r="656" ht="18" customHeight="1">
      <x:c r="A656" s="99" t="str">
        <x:v>I</x:v>
      </x:c>
      <x:c r="B656" s="99" t="str">
        <x:v>动词</x:v>
      </x:c>
      <x:c r="C656" s="99" t="n">
        <x:v>4</x:v>
      </x:c>
      <x:c r="D656" s="99" t="str">
        <x:v>increase</x:v>
      </x:c>
      <x:c r="E656" s="99" t="str">
        <x:v>/ɪnˈkriːs/</x:v>
      </x:c>
      <x:c r="F656" s="99" t="str">
        <x:v>增大；增长</x:v>
      </x:c>
      <x:c r="G656" s="99" t="str">
        <x:v>4. increase /ɪnˈkriːs/ 增大；增长</x:v>
      </x:c>
    </x:row>
    <x:row r="657" ht="18" customHeight="1">
      <x:c r="A657" s="99" t="str">
        <x:v>I</x:v>
      </x:c>
      <x:c r="B657" s="99" t="str">
        <x:v>动词</x:v>
      </x:c>
      <x:c r="C657" s="99" t="n">
        <x:v>5</x:v>
      </x:c>
      <x:c r="D657" s="99" t="str">
        <x:v>introduce</x:v>
      </x:c>
      <x:c r="E657" s="99" t="str">
        <x:v>/ˌɪntrəˈdjuːs/</x:v>
      </x:c>
      <x:c r="F657" s="99" t="str">
        <x:v>介绍；引见</x:v>
      </x:c>
      <x:c r="G657" s="99" t="str">
        <x:v>5. introduce /ˌɪntrəˈdjuːs/ 介绍；引见</x:v>
      </x:c>
    </x:row>
    <x:row r="658" ht="18" customHeight="1">
      <x:c r="A658" s="99" t="str">
        <x:v>I</x:v>
      </x:c>
      <x:c r="B658" s="99" t="str">
        <x:v>动词</x:v>
      </x:c>
      <x:c r="C658" s="99" t="n">
        <x:v>6</x:v>
      </x:c>
      <x:c r="D658" s="99" t="str">
        <x:v>invent</x:v>
      </x:c>
      <x:c r="E658" s="99" t="str">
        <x:v>/ɪnˈvent/</x:v>
      </x:c>
      <x:c r="F658" s="99" t="str">
        <x:v>发明；创造</x:v>
      </x:c>
      <x:c r="G658" s="99" t="str">
        <x:v>6. invent /ɪnˈvent/ 发明；创造</x:v>
      </x:c>
    </x:row>
    <x:row r="659" ht="18" customHeight="1">
      <x:c r="A659" s="99" t="str">
        <x:v>I</x:v>
      </x:c>
      <x:c r="B659" s="99" t="str">
        <x:v>动词</x:v>
      </x:c>
      <x:c r="C659" s="99" t="n">
        <x:v>7</x:v>
      </x:c>
      <x:c r="D659" s="99" t="str">
        <x:v>invite</x:v>
      </x:c>
      <x:c r="E659" s="99" t="str">
        <x:v>/ɪnˈvaɪt/</x:v>
      </x:c>
      <x:c r="F659" s="99" t="str">
        <x:v>邀请</x:v>
      </x:c>
      <x:c r="G659" s="99" t="str">
        <x:v>7. invite /ɪnˈvaɪt/ 邀请</x:v>
      </x:c>
    </x:row>
    <x:row r="660" ht="18" customHeight="1">
      <x:c r="A660" s="99" t="str">
        <x:v>I</x:v>
      </x:c>
      <x:c r="B660" s="99" t="str">
        <x:v>动词</x:v>
      </x:c>
      <x:c r="C660" s="99" t="n">
        <x:v>8</x:v>
      </x:c>
      <x:c r="D660" s="99" t="str">
        <x:v>is</x:v>
      </x:c>
      <x:c r="E660" s="99" t="str">
        <x:v>/ɪz/</x:v>
      </x:c>
      <x:c r="F660" s="99" t="str">
        <x:v>是（动词be的第三人称单数现在式）</x:v>
      </x:c>
      <x:c r="G660" s="99" t="str">
        <x:v>8. is /ɪz/ 是（动词be的第三人称单数现在式）</x:v>
      </x:c>
    </x:row>
    <x:row r="661" ht="18" customHeight="1">
      <x:c r="A661" s="99" t="str">
        <x:v>I</x:v>
      </x:c>
      <x:c r="B661" s="99" t="str">
        <x:v>形容词</x:v>
      </x:c>
      <x:c r="C661" s="99" t="n">
        <x:v>1</x:v>
      </x:c>
      <x:c r="D661" s="99" t="str">
        <x:v>ill</x:v>
      </x:c>
      <x:c r="E661" s="99" t="str">
        <x:v>/ɪl/</x:v>
      </x:c>
      <x:c r="F661" s="99" t="str">
        <x:v>不健康的；有病的</x:v>
      </x:c>
      <x:c r="G661" s="99" t="str">
        <x:v>1. ill /ɪl/ 不健康的；有病的</x:v>
      </x:c>
    </x:row>
    <x:row r="662" ht="18" customHeight="1">
      <x:c r="A662" s="99" t="str">
        <x:v>I</x:v>
      </x:c>
      <x:c r="B662" s="99" t="str">
        <x:v>形容词</x:v>
      </x:c>
      <x:c r="C662" s="99" t="n">
        <x:v>2</x:v>
      </x:c>
      <x:c r="D662" s="99" t="str">
        <x:v>important</x:v>
      </x:c>
      <x:c r="E662" s="99" t="str">
        <x:v>/ɪmˈpɔːtnt/</x:v>
      </x:c>
      <x:c r="F662" s="99" t="str">
        <x:v>重要的</x:v>
      </x:c>
      <x:c r="G662" s="99" t="str">
        <x:v>2. important /ɪmˈpɔːtnt/ 重要的</x:v>
      </x:c>
    </x:row>
    <x:row r="663" ht="18" customHeight="1">
      <x:c r="A663" s="99" t="str">
        <x:v>I</x:v>
      </x:c>
      <x:c r="B663" s="99" t="str">
        <x:v>形容词</x:v>
      </x:c>
      <x:c r="C663" s="99" t="n">
        <x:v>3</x:v>
      </x:c>
      <x:c r="D663" s="99" t="str">
        <x:v>impossible</x:v>
      </x:c>
      <x:c r="E663" s="99" t="str">
        <x:v>/ɪmˈpɒsəbl/</x:v>
      </x:c>
      <x:c r="F663" s="99" t="str">
        <x:v>办不到的；不可能的</x:v>
      </x:c>
      <x:c r="G663" s="99" t="str">
        <x:v>3. impossible /ɪmˈpɒsəbl/ 办不到的；不可能的</x:v>
      </x:c>
    </x:row>
    <x:row r="664" ht="18" customHeight="1">
      <x:c r="A664" s="99" t="str">
        <x:v>I</x:v>
      </x:c>
      <x:c r="B664" s="99" t="str">
        <x:v>形容词</x:v>
      </x:c>
      <x:c r="C664" s="99" t="n">
        <x:v>4</x:v>
      </x:c>
      <x:c r="D664" s="99" t="str">
        <x:v>interested</x:v>
      </x:c>
      <x:c r="E664" s="99" t="str">
        <x:v>/ˈɪntrəstɪd/</x:v>
      </x:c>
      <x:c r="F664" s="99" t="str">
        <x:v>关心的；感兴趣的</x:v>
      </x:c>
      <x:c r="G664" s="99" t="str">
        <x:v>4. interested /ˈɪntrəstɪd/ 关心的；感兴趣的</x:v>
      </x:c>
    </x:row>
    <x:row r="665" ht="18" customHeight="1">
      <x:c r="A665" s="99" t="str">
        <x:v>I</x:v>
      </x:c>
      <x:c r="B665" s="99" t="str">
        <x:v>形容词</x:v>
      </x:c>
      <x:c r="C665" s="99" t="n">
        <x:v>5</x:v>
      </x:c>
      <x:c r="D665" s="99" t="str">
        <x:v>interesting</x:v>
      </x:c>
      <x:c r="E665" s="99" t="str">
        <x:v>/ˈɪntrəstɪŋ/</x:v>
      </x:c>
      <x:c r="F665" s="99" t="str">
        <x:v>有趣的</x:v>
      </x:c>
      <x:c r="G665" s="99" t="str">
        <x:v>5. interesting /ˈɪntrəstɪŋ/ 有趣的</x:v>
      </x:c>
    </x:row>
    <x:row r="666" ht="18" customHeight="1">
      <x:c r="A666" s="99" t="str">
        <x:v>I</x:v>
      </x:c>
      <x:c r="B666" s="99" t="str">
        <x:v>形容词</x:v>
      </x:c>
      <x:c r="C666" s="99" t="n">
        <x:v>6</x:v>
      </x:c>
      <x:c r="D666" s="99" t="str">
        <x:v>international</x:v>
      </x:c>
      <x:c r="E666" s="99" t="str">
        <x:v>/ˌɪntəˈnæʃnəl/</x:v>
      </x:c>
      <x:c r="F666" s="99" t="str">
        <x:v>国际的；世界的</x:v>
      </x:c>
      <x:c r="G666" s="99" t="str">
        <x:v>6. international /ˌɪntəˈnæʃnəl/ 国际的；世界的</x:v>
      </x:c>
    </x:row>
    <x:row r="667" ht="18" customHeight="1">
      <x:c r="A667" s="99" t="str">
        <x:v>I</x:v>
      </x:c>
      <x:c r="B667" s="99" t="str">
        <x:v>形容词</x:v>
      </x:c>
      <x:c r="C667" s="99" t="n">
        <x:v>7</x:v>
      </x:c>
      <x:c r="D667" s="99" t="str">
        <x:v>inside</x:v>
      </x:c>
      <x:c r="E667" s="99" t="str">
        <x:v>/ˌɪnˈsaɪd/</x:v>
      </x:c>
      <x:c r="F667" s="99" t="str">
        <x:v>里面的；内部的</x:v>
      </x:c>
      <x:c r="G667" s="99" t="str">
        <x:v>7. inside /ˌɪnˈsaɪd/ 里面的；内部的</x:v>
      </x:c>
    </x:row>
    <x:row r="668" ht="18" customHeight="1">
      <x:c r="A668" s="99" t="str">
        <x:v>I</x:v>
      </x:c>
      <x:c r="B668" s="99" t="str">
        <x:v>副词</x:v>
      </x:c>
      <x:c r="C668" s="99" t="n">
        <x:v>1</x:v>
      </x:c>
      <x:c r="D668" s="99" t="str">
        <x:v>immediately</x:v>
      </x:c>
      <x:c r="E668" s="99" t="str">
        <x:v>/ɪˈmiːdiətli/</x:v>
      </x:c>
      <x:c r="F668" s="99" t="str">
        <x:v>立刻；当即</x:v>
      </x:c>
      <x:c r="G668" s="99" t="str">
        <x:v>1. immediately /ɪˈmiːdiətli/ 立刻；当即</x:v>
      </x:c>
    </x:row>
    <x:row r="669" ht="18" customHeight="1">
      <x:c r="A669" s="99" t="str">
        <x:v>I</x:v>
      </x:c>
      <x:c r="B669" s="99" t="str">
        <x:v>副词</x:v>
      </x:c>
      <x:c r="C669" s="99" t="n">
        <x:v>2</x:v>
      </x:c>
      <x:c r="D669" s="99" t="str">
        <x:v>in</x:v>
      </x:c>
      <x:c r="E669" s="99" t="str">
        <x:v>/ɪn/</x:v>
      </x:c>
      <x:c r="F669" s="99" t="str">
        <x:v>在家；进入（兼作介词）</x:v>
      </x:c>
      <x:c r="G669" s="99" t="str">
        <x:v>2. in /ɪn/ 在家；进入（兼作介词）</x:v>
      </x:c>
    </x:row>
    <x:row r="670" ht="18" customHeight="1">
      <x:c r="A670" s="99" t="str">
        <x:v>I</x:v>
      </x:c>
      <x:c r="B670" s="99" t="str">
        <x:v>副词</x:v>
      </x:c>
      <x:c r="C670" s="99" t="n">
        <x:v>3</x:v>
      </x:c>
      <x:c r="D670" s="99" t="str">
        <x:v>inside</x:v>
      </x:c>
      <x:c r="E670" s="99" t="str">
        <x:v>/ˌɪnˈsaɪd/</x:v>
      </x:c>
      <x:c r="F670" s="99" t="str">
        <x:v>在里面；向室内（兼作介词/形容词）</x:v>
      </x:c>
      <x:c r="G670" s="99" t="str">
        <x:v>3. inside /ˌɪnˈsaɪd/ 在里面；向室内（兼作介词/形容词）</x:v>
      </x:c>
    </x:row>
    <x:row r="671" ht="18" customHeight="1">
      <x:c r="A671" s="99" t="str">
        <x:v>I</x:v>
      </x:c>
      <x:c r="B671" s="99" t="str">
        <x:v>介词</x:v>
      </x:c>
      <x:c r="C671" s="99" t="n">
        <x:v>1</x:v>
      </x:c>
      <x:c r="D671" s="99" t="str">
        <x:v>in</x:v>
      </x:c>
      <x:c r="E671" s="99" t="str">
        <x:v>/ɪn/</x:v>
      </x:c>
      <x:c r="F671" s="99" t="str">
        <x:v>参加；加入；在……期间；用；按照；以（某方式或风格）；在……里面；使用（某种语言）</x:v>
      </x:c>
      <x:c r="G671" s="99" t="str">
        <x:v>1. in /ɪn/ 参加；加入；在……期间；用；按照；以（某方式或风格）；在……里面；使用（某种语言）</x:v>
      </x:c>
    </x:row>
    <x:row r="672" ht="18" customHeight="1">
      <x:c r="A672" s="99" t="str">
        <x:v>I</x:v>
      </x:c>
      <x:c r="B672" s="99" t="str">
        <x:v>介词</x:v>
      </x:c>
      <x:c r="C672" s="99" t="n">
        <x:v>2</x:v>
      </x:c>
      <x:c r="D672" s="99" t="str">
        <x:v>into</x:v>
      </x:c>
      <x:c r="E672" s="99" t="str">
        <x:v>/ˈɪntuː; ˈɪntə/</x:v>
      </x:c>
      <x:c r="F672" s="99" t="str">
        <x:v>进入……里面</x:v>
      </x:c>
      <x:c r="G672" s="99" t="str">
        <x:v>2. into /ˈɪntuː; ˈɪntə/ 进入……里面</x:v>
      </x:c>
    </x:row>
    <x:row r="673" ht="18" customHeight="1">
      <x:c r="A673" s="99" t="str">
        <x:v>I</x:v>
      </x:c>
      <x:c r="B673" s="99" t="str">
        <x:v>代词</x:v>
      </x:c>
      <x:c r="C673" s="99" t="n">
        <x:v>1</x:v>
      </x:c>
      <x:c r="D673" s="99" t="str">
        <x:v>I</x:v>
      </x:c>
      <x:c r="E673" s="99" t="str">
        <x:v>/aɪ/</x:v>
      </x:c>
      <x:c r="F673" s="99" t="str">
        <x:v>我</x:v>
      </x:c>
      <x:c r="G673" s="99" t="str">
        <x:v>1. I /aɪ/ 我</x:v>
      </x:c>
    </x:row>
    <x:row r="674" ht="18" customHeight="1">
      <x:c r="A674" s="99" t="str">
        <x:v>I</x:v>
      </x:c>
      <x:c r="B674" s="99" t="str">
        <x:v>代词</x:v>
      </x:c>
      <x:c r="C674" s="99" t="n">
        <x:v>2</x:v>
      </x:c>
      <x:c r="D674" s="99" t="str">
        <x:v>it</x:v>
      </x:c>
      <x:c r="E674" s="99" t="str">
        <x:v>/ɪt/</x:v>
      </x:c>
      <x:c r="F674" s="99" t="str">
        <x:v>它</x:v>
      </x:c>
      <x:c r="G674" s="99" t="str">
        <x:v>2. it /ɪt/ 它</x:v>
      </x:c>
    </x:row>
    <x:row r="675" ht="18" customHeight="1">
      <x:c r="A675" s="99" t="str">
        <x:v>I</x:v>
      </x:c>
      <x:c r="B675" s="99" t="str">
        <x:v>代词</x:v>
      </x:c>
      <x:c r="C675" s="99" t="n">
        <x:v>3</x:v>
      </x:c>
      <x:c r="D675" s="99" t="str">
        <x:v>its</x:v>
      </x:c>
      <x:c r="E675" s="99" t="str">
        <x:v>/ɪts/</x:v>
      </x:c>
      <x:c r="F675" s="99" t="str">
        <x:v>它的</x:v>
      </x:c>
      <x:c r="G675" s="99" t="str">
        <x:v>3. its /ɪts/ 它的</x:v>
      </x:c>
    </x:row>
    <x:row r="676" ht="18" customHeight="1">
      <x:c r="A676" s="99" t="str">
        <x:v>I</x:v>
      </x:c>
      <x:c r="B676" s="99" t="str">
        <x:v>连词</x:v>
      </x:c>
      <x:c r="C676" s="99" t="n">
        <x:v>1</x:v>
      </x:c>
      <x:c r="D676" s="99" t="str">
        <x:v>if</x:v>
      </x:c>
      <x:c r="E676" s="99" t="str">
        <x:v>/ɪf/</x:v>
      </x:c>
      <x:c r="F676" s="99" t="str">
        <x:v>如果；若</x:v>
      </x:c>
      <x:c r="G676" s="99" t="str">
        <x:v>1. if /ɪf/ 如果；若</x:v>
      </x:c>
    </x:row>
    <x:row r="677" ht="18" customHeight="1">
      <x:c r="A677" s="99" t="str">
        <x:v>I</x:v>
      </x:c>
      <x:c r="B677" s="99" t="str">
        <x:v>短语</x:v>
      </x:c>
      <x:c r="C677" s="99" t="n">
        <x:v>1</x:v>
      </x:c>
      <x:c r="D677" s="99" t="str">
        <x:v>be</x:v>
      </x:c>
      <x:c r="E677" s="99" t="str"/>
      <x:c r="F677" s="99" t="str">
        <x:v>interested in 对……感兴趣</x:v>
      </x:c>
      <x:c r="G677" s="99" t="str">
        <x:v>1. be interested in 对……感兴趣</x:v>
      </x:c>
    </x:row>
    <x:row r="678" ht="18" customHeight="1">
      <x:c r="A678" s="99" t="str">
        <x:v>I</x:v>
      </x:c>
      <x:c r="B678" s="99" t="str">
        <x:v>短语</x:v>
      </x:c>
      <x:c r="C678" s="99" t="n">
        <x:v>2</x:v>
      </x:c>
      <x:c r="D678" s="99" t="str">
        <x:v>in</x:v>
      </x:c>
      <x:c r="E678" s="99" t="str"/>
      <x:c r="F678" s="99" t="str">
        <x:v>a hurry 匆匆忙忙</x:v>
      </x:c>
      <x:c r="G678" s="99" t="str">
        <x:v>2. in a hurry 匆匆忙忙</x:v>
      </x:c>
    </x:row>
    <x:row r="679" ht="18" customHeight="1">
      <x:c r="A679" s="99" t="str">
        <x:v>I</x:v>
      </x:c>
      <x:c r="B679" s="99" t="str">
        <x:v>短语</x:v>
      </x:c>
      <x:c r="C679" s="99" t="n">
        <x:v>3</x:v>
      </x:c>
      <x:c r="D679" s="99" t="str">
        <x:v>in</x:v>
      </x:c>
      <x:c r="E679" s="99" t="str"/>
      <x:c r="F679" s="99" t="str">
        <x:v>English 用英语</x:v>
      </x:c>
      <x:c r="G679" s="99" t="str">
        <x:v>3. in English 用英语</x:v>
      </x:c>
    </x:row>
    <x:row r="680" ht="18" customHeight="1">
      <x:c r="A680" s="99" t="str">
        <x:v>I</x:v>
      </x:c>
      <x:c r="B680" s="99" t="str">
        <x:v>短语</x:v>
      </x:c>
      <x:c r="C680" s="99" t="n">
        <x:v>4</x:v>
      </x:c>
      <x:c r="D680" s="99" t="str">
        <x:v>in</x:v>
      </x:c>
      <x:c r="E680" s="99" t="str"/>
      <x:c r="F680" s="99" t="str">
        <x:v>order to 为了</x:v>
      </x:c>
      <x:c r="G680" s="99" t="str">
        <x:v>4. in order to 为了</x:v>
      </x:c>
    </x:row>
    <x:row r="681" ht="18" customHeight="1">
      <x:c r="A681" s="99" t="str">
        <x:v>I</x:v>
      </x:c>
      <x:c r="B681" s="99" t="str">
        <x:v>短语</x:v>
      </x:c>
      <x:c r="C681" s="99" t="n">
        <x:v>5</x:v>
      </x:c>
      <x:c r="D681" s="99" t="str">
        <x:v>in</x:v>
      </x:c>
      <x:c r="E681" s="99" t="str"/>
      <x:c r="F681" s="99" t="str">
        <x:v>person 亲自；本人</x:v>
      </x:c>
      <x:c r="G681" s="99" t="str">
        <x:v>5. in person 亲自；本人</x:v>
      </x:c>
    </x:row>
    <x:row r="682" ht="18" customHeight="1">
      <x:c r="A682" s="99" t="str">
        <x:v>I</x:v>
      </x:c>
      <x:c r="B682" s="99" t="str">
        <x:v>短语</x:v>
      </x:c>
      <x:c r="C682" s="99" t="n">
        <x:v>6</x:v>
      </x:c>
      <x:c r="D682" s="99" t="str">
        <x:v>in</x:v>
      </x:c>
      <x:c r="E682" s="99" t="str"/>
      <x:c r="F682" s="99" t="str">
        <x:v>time 及时</x:v>
      </x:c>
      <x:c r="G682" s="99" t="str">
        <x:v>6. in time 及时</x:v>
      </x:c>
    </x:row>
    <x:row r="683" ht="18" customHeight="1">
      <x:c r="A683" s="99" t="str">
        <x:v>I</x:v>
      </x:c>
      <x:c r="B683" s="99" t="str">
        <x:v>短语</x:v>
      </x:c>
      <x:c r="C683" s="99" t="n">
        <x:v>7</x:v>
      </x:c>
      <x:c r="D683" s="99" t="str">
        <x:v>in</x:v>
      </x:c>
      <x:c r="E683" s="99" t="str"/>
      <x:c r="F683" s="99" t="str">
        <x:v>the 1860s 在19世纪60年代</x:v>
      </x:c>
      <x:c r="G683" s="99" t="str">
        <x:v>7. in the 1860s 在19世纪60年代</x:v>
      </x:c>
    </x:row>
    <x:row r="684" ht="18" customHeight="1">
      <x:c r="A684" s="99" t="str">
        <x:v>J</x:v>
      </x:c>
      <x:c r="B684" s="99" t="str">
        <x:v>名词</x:v>
      </x:c>
      <x:c r="C684" s="99" t="n">
        <x:v>1</x:v>
      </x:c>
      <x:c r="D684" s="99" t="str">
        <x:v>January</x:v>
      </x:c>
      <x:c r="E684" s="99" t="str">
        <x:v>/ˈdʒænjuəri/</x:v>
      </x:c>
      <x:c r="F684" s="99" t="str">
        <x:v>一月</x:v>
      </x:c>
      <x:c r="G684" s="99" t="str">
        <x:v>1. January /ˈdʒænjuəri/ 一月</x:v>
      </x:c>
    </x:row>
    <x:row r="685" ht="18" customHeight="1">
      <x:c r="A685" s="99" t="str">
        <x:v>J</x:v>
      </x:c>
      <x:c r="B685" s="99" t="str">
        <x:v>名词</x:v>
      </x:c>
      <x:c r="C685" s="99" t="n">
        <x:v>2</x:v>
      </x:c>
      <x:c r="D685" s="99" t="str">
        <x:v>job</x:v>
      </x:c>
      <x:c r="E685" s="99" t="str">
        <x:v>/dʒɒb/</x:v>
      </x:c>
      <x:c r="F685" s="99" t="str">
        <x:v>工作</x:v>
      </x:c>
      <x:c r="G685" s="99" t="str">
        <x:v>2. job /dʒɒb/ 工作</x:v>
      </x:c>
    </x:row>
    <x:row r="686" ht="18" customHeight="1">
      <x:c r="A686" s="99" t="str">
        <x:v>J</x:v>
      </x:c>
      <x:c r="B686" s="99" t="str">
        <x:v>名词</x:v>
      </x:c>
      <x:c r="C686" s="99" t="n">
        <x:v>3</x:v>
      </x:c>
      <x:c r="D686" s="99" t="str">
        <x:v>juice</x:v>
      </x:c>
      <x:c r="E686" s="99" t="str">
        <x:v>/dʒuːs/</x:v>
      </x:c>
      <x:c r="F686" s="99" t="str">
        <x:v>果汁</x:v>
      </x:c>
      <x:c r="G686" s="99" t="str">
        <x:v>3. juice /dʒuːs/ 果汁</x:v>
      </x:c>
    </x:row>
    <x:row r="687" ht="18" customHeight="1">
      <x:c r="A687" s="99" t="str">
        <x:v>J</x:v>
      </x:c>
      <x:c r="B687" s="99" t="str">
        <x:v>动词</x:v>
      </x:c>
      <x:c r="C687" s="99" t="str"/>
      <x:c r="D687" s="99" t="str">
        <x:v>join</x:v>
      </x:c>
      <x:c r="E687" s="99" t="str">
        <x:v>/dʒɔɪn/</x:v>
      </x:c>
      <x:c r="F687" s="99" t="str">
        <x:v>参加；加入</x:v>
      </x:c>
      <x:c r="G687" s="99" t="str">
        <x:v>join /dʒɔɪn/ 参加；加入</x:v>
      </x:c>
    </x:row>
    <x:row r="688" ht="18" customHeight="1">
      <x:c r="A688" s="99" t="str">
        <x:v>K</x:v>
      </x:c>
      <x:c r="B688" s="99" t="str">
        <x:v>名词</x:v>
      </x:c>
      <x:c r="C688" s="99" t="n">
        <x:v>1</x:v>
      </x:c>
      <x:c r="D688" s="99" t="str">
        <x:v>key</x:v>
      </x:c>
      <x:c r="E688" s="99" t="str">
        <x:v>/kiː/</x:v>
      </x:c>
      <x:c r="F688" s="99" t="str">
        <x:v>钥匙；关键</x:v>
      </x:c>
      <x:c r="G688" s="99" t="str">
        <x:v>1. key /kiː/ 钥匙；关键</x:v>
      </x:c>
    </x:row>
    <x:row r="689" ht="18" customHeight="1">
      <x:c r="A689" s="99" t="str">
        <x:v>K</x:v>
      </x:c>
      <x:c r="B689" s="99" t="str">
        <x:v>名词</x:v>
      </x:c>
      <x:c r="C689" s="99" t="n">
        <x:v>2</x:v>
      </x:c>
      <x:c r="D689" s="99" t="str">
        <x:v>keyboard</x:v>
      </x:c>
      <x:c r="E689" s="99" t="str">
        <x:v>/ˈkiːbɔːd/</x:v>
      </x:c>
      <x:c r="F689" s="99" t="str">
        <x:v>键盘</x:v>
      </x:c>
      <x:c r="G689" s="99" t="str">
        <x:v>2. keyboard /ˈkiːbɔːd/ 键盘</x:v>
      </x:c>
    </x:row>
    <x:row r="690" ht="18" customHeight="1">
      <x:c r="A690" s="99" t="str">
        <x:v>K</x:v>
      </x:c>
      <x:c r="B690" s="99" t="str">
        <x:v>名词</x:v>
      </x:c>
      <x:c r="C690" s="99" t="n">
        <x:v>3</x:v>
      </x:c>
      <x:c r="D690" s="99" t="str">
        <x:v>kilo (= kilogram)</x:v>
      </x:c>
      <x:c r="E690" s="99" t="str">
        <x:v>/ˈkiːləʊ/</x:v>
      </x:c>
      <x:c r="F690" s="99" t="str">
        <x:v>千克；公斤</x:v>
      </x:c>
      <x:c r="G690" s="99" t="str">
        <x:v>3. kilo (= kilogram) /ˈkiːləʊ/ 千克；公斤</x:v>
      </x:c>
    </x:row>
    <x:row r="691" ht="18" customHeight="1">
      <x:c r="A691" s="99" t="str">
        <x:v>K</x:v>
      </x:c>
      <x:c r="B691" s="99" t="str">
        <x:v>名词</x:v>
      </x:c>
      <x:c r="C691" s="99" t="n">
        <x:v>4</x:v>
      </x:c>
      <x:c r="D691" s="99" t="str">
        <x:v>kilometre</x:v>
      </x:c>
      <x:c r="E691" s="99" t="str">
        <x:v>/kɪˈlɒmɪtə(r)/</x:v>
      </x:c>
      <x:c r="F691" s="99" t="str">
        <x:v>千米</x:v>
      </x:c>
      <x:c r="G691" s="99" t="str">
        <x:v>4. kilometre /kɪˈlɒmɪtə(r)/ 千米</x:v>
      </x:c>
    </x:row>
    <x:row r="692" ht="18" customHeight="1">
      <x:c r="A692" s="99" t="str">
        <x:v>K</x:v>
      </x:c>
      <x:c r="B692" s="99" t="str">
        <x:v>名词</x:v>
      </x:c>
      <x:c r="C692" s="99" t="n">
        <x:v>5</x:v>
      </x:c>
      <x:c r="D692" s="99" t="str">
        <x:v>kind</x:v>
      </x:c>
      <x:c r="E692" s="99" t="str">
        <x:v>/kaɪnd/</x:v>
      </x:c>
      <x:c r="F692" s="99" t="str">
        <x:v>种类</x:v>
      </x:c>
      <x:c r="G692" s="99" t="str">
        <x:v>5. kind /kaɪnd/ 种类</x:v>
      </x:c>
    </x:row>
    <x:row r="693" ht="18" customHeight="1">
      <x:c r="A693" s="99" t="str">
        <x:v>K</x:v>
      </x:c>
      <x:c r="B693" s="99" t="str">
        <x:v>名词</x:v>
      </x:c>
      <x:c r="C693" s="99" t="n">
        <x:v>6</x:v>
      </x:c>
      <x:c r="D693" s="99" t="str">
        <x:v>king</x:v>
      </x:c>
      <x:c r="E693" s="99" t="str">
        <x:v>/kɪŋ/</x:v>
      </x:c>
      <x:c r="F693" s="99" t="str">
        <x:v>国王；君王</x:v>
      </x:c>
      <x:c r="G693" s="99" t="str">
        <x:v>6. king /kɪŋ/ 国王；君王</x:v>
      </x:c>
    </x:row>
    <x:row r="694" ht="18" customHeight="1">
      <x:c r="A694" s="99" t="str">
        <x:v>K</x:v>
      </x:c>
      <x:c r="B694" s="99" t="str">
        <x:v>名词</x:v>
      </x:c>
      <x:c r="C694" s="99" t="n">
        <x:v>7</x:v>
      </x:c>
      <x:c r="D694" s="99" t="str">
        <x:v>kiss</x:v>
      </x:c>
      <x:c r="E694" s="99" t="str">
        <x:v>/kɪs/</x:v>
      </x:c>
      <x:c r="F694" s="99" t="str">
        <x:v>吻；亲吻</x:v>
      </x:c>
      <x:c r="G694" s="99" t="str">
        <x:v>7. kiss /kɪs/ 吻；亲吻</x:v>
      </x:c>
    </x:row>
    <x:row r="695" ht="18" customHeight="1">
      <x:c r="A695" s="99" t="str">
        <x:v>K</x:v>
      </x:c>
      <x:c r="B695" s="99" t="str">
        <x:v>名词</x:v>
      </x:c>
      <x:c r="C695" s="99" t="n">
        <x:v>8</x:v>
      </x:c>
      <x:c r="D695" s="99" t="str">
        <x:v>kitchen</x:v>
      </x:c>
      <x:c r="E695" s="99" t="str">
        <x:v>/ˈkɪtʃɪn/</x:v>
      </x:c>
      <x:c r="F695" s="99" t="str">
        <x:v>厨房</x:v>
      </x:c>
      <x:c r="G695" s="99" t="str">
        <x:v>8. kitchen /ˈkɪtʃɪn/ 厨房</x:v>
      </x:c>
    </x:row>
    <x:row r="696" ht="18" customHeight="1">
      <x:c r="A696" s="99" t="str">
        <x:v>K</x:v>
      </x:c>
      <x:c r="B696" s="99" t="str">
        <x:v>名词</x:v>
      </x:c>
      <x:c r="C696" s="99" t="n">
        <x:v>9</x:v>
      </x:c>
      <x:c r="D696" s="99" t="str">
        <x:v>kite</x:v>
      </x:c>
      <x:c r="E696" s="99" t="str">
        <x:v>/kaɪt/</x:v>
      </x:c>
      <x:c r="F696" s="99" t="str">
        <x:v>风筝</x:v>
      </x:c>
      <x:c r="G696" s="99" t="str">
        <x:v>9. kite /kaɪt/ 风筝</x:v>
      </x:c>
    </x:row>
    <x:row r="697" ht="18" customHeight="1">
      <x:c r="A697" s="99" t="str">
        <x:v>K</x:v>
      </x:c>
      <x:c r="B697" s="99" t="str">
        <x:v>名词</x:v>
      </x:c>
      <x:c r="C697" s="99" t="n">
        <x:v>10</x:v>
      </x:c>
      <x:c r="D697" s="99" t="str">
        <x:v>knee</x:v>
      </x:c>
      <x:c r="E697" s="99" t="str">
        <x:v>/niː/</x:v>
      </x:c>
      <x:c r="F697" s="99" t="str">
        <x:v>膝盖</x:v>
      </x:c>
      <x:c r="G697" s="99" t="str">
        <x:v>10. knee /niː/ 膝盖</x:v>
      </x:c>
    </x:row>
    <x:row r="698" ht="18" customHeight="1">
      <x:c r="A698" s="99" t="str">
        <x:v>K</x:v>
      </x:c>
      <x:c r="B698" s="99" t="str">
        <x:v>名词</x:v>
      </x:c>
      <x:c r="C698" s="99" t="n">
        <x:v>11</x:v>
      </x:c>
      <x:c r="D698" s="99" t="str">
        <x:v>knife</x:v>
      </x:c>
      <x:c r="E698" s="99" t="str">
        <x:v>/naɪf/</x:v>
      </x:c>
      <x:c r="F698" s="99" t="str">
        <x:v>刀</x:v>
      </x:c>
      <x:c r="G698" s="99" t="str">
        <x:v>11. knife /naɪf/ 刀</x:v>
      </x:c>
    </x:row>
    <x:row r="699" ht="18" customHeight="1">
      <x:c r="A699" s="99" t="str">
        <x:v>K</x:v>
      </x:c>
      <x:c r="B699" s="99" t="str">
        <x:v>名词</x:v>
      </x:c>
      <x:c r="C699" s="99" t="n">
        <x:v>12</x:v>
      </x:c>
      <x:c r="D699" s="99" t="str">
        <x:v>knock</x:v>
      </x:c>
      <x:c r="E699" s="99" t="str">
        <x:v>/nɒk/</x:v>
      </x:c>
      <x:c r="F699" s="99" t="str">
        <x:v>敲；敲击声</x:v>
      </x:c>
      <x:c r="G699" s="99" t="str">
        <x:v>12. knock /nɒk/ 敲；敲击声</x:v>
      </x:c>
    </x:row>
    <x:row r="700" ht="18" customHeight="1">
      <x:c r="A700" s="99" t="str">
        <x:v>K</x:v>
      </x:c>
      <x:c r="B700" s="99" t="str">
        <x:v>动词</x:v>
      </x:c>
      <x:c r="C700" s="99" t="n">
        <x:v>1</x:v>
      </x:c>
      <x:c r="D700" s="99" t="str">
        <x:v>keep</x:v>
      </x:c>
      <x:c r="E700" s="99" t="str">
        <x:v>/kiːp/</x:v>
      </x:c>
      <x:c r="F700" s="99" t="str">
        <x:v>(kept /kept/; kept) 保持；留在</x:v>
      </x:c>
      <x:c r="G700" s="99" t="str">
        <x:v>1. keep /kiːp/ (kept /kept/; kept) 保持；留在</x:v>
      </x:c>
    </x:row>
    <x:row r="701" ht="18" customHeight="1">
      <x:c r="A701" s="99" t="str">
        <x:v>K</x:v>
      </x:c>
      <x:c r="B701" s="99" t="str">
        <x:v>动词</x:v>
      </x:c>
      <x:c r="C701" s="99" t="n">
        <x:v>2</x:v>
      </x:c>
      <x:c r="D701" s="99" t="str">
        <x:v>kiss</x:v>
      </x:c>
      <x:c r="E701" s="99" t="str">
        <x:v>/kɪs/</x:v>
      </x:c>
      <x:c r="F701" s="99" t="str">
        <x:v>吻；亲吻</x:v>
      </x:c>
      <x:c r="G701" s="99" t="str">
        <x:v>2. kiss /kɪs/ 吻；亲吻</x:v>
      </x:c>
    </x:row>
    <x:row r="702" ht="18" customHeight="1">
      <x:c r="A702" s="99" t="str">
        <x:v>K</x:v>
      </x:c>
      <x:c r="B702" s="99" t="str">
        <x:v>动词</x:v>
      </x:c>
      <x:c r="C702" s="99" t="n">
        <x:v>3</x:v>
      </x:c>
      <x:c r="D702" s="99" t="str">
        <x:v>knock</x:v>
      </x:c>
      <x:c r="E702" s="99" t="str">
        <x:v>/nɒk/</x:v>
      </x:c>
      <x:c r="F702" s="99" t="str">
        <x:v>敲；击</x:v>
      </x:c>
      <x:c r="G702" s="99" t="str">
        <x:v>3. knock /nɒk/ 敲；击</x:v>
      </x:c>
    </x:row>
    <x:row r="703" ht="18" customHeight="1">
      <x:c r="A703" s="99" t="str">
        <x:v>K</x:v>
      </x:c>
      <x:c r="B703" s="99" t="str">
        <x:v>形容词</x:v>
      </x:c>
      <x:c r="C703" s="99" t="n">
        <x:v>1</x:v>
      </x:c>
      <x:c r="D703" s="99" t="str">
        <x:v>key</x:v>
      </x:c>
      <x:c r="E703" s="99" t="str">
        <x:v>/kiː/</x:v>
      </x:c>
      <x:c r="F703" s="99" t="str">
        <x:v>关键性的；非常重要的</x:v>
      </x:c>
      <x:c r="G703" s="99" t="str">
        <x:v>1. key /kiː/ 关键性的；非常重要的</x:v>
      </x:c>
    </x:row>
    <x:row r="704" ht="18" customHeight="1">
      <x:c r="A704" s="99" t="str">
        <x:v>K</x:v>
      </x:c>
      <x:c r="B704" s="99" t="str">
        <x:v>形容词</x:v>
      </x:c>
      <x:c r="C704" s="99" t="n">
        <x:v>2</x:v>
      </x:c>
      <x:c r="D704" s="99" t="str">
        <x:v>kind</x:v>
      </x:c>
      <x:c r="E704" s="99" t="str">
        <x:v>/kaɪnd/</x:v>
      </x:c>
      <x:c r="F704" s="99" t="str">
        <x:v>善良的；友好的（注：词表中未标，按中考高频补充）</x:v>
      </x:c>
      <x:c r="G704" s="99" t="str">
        <x:v>2. kind /kaɪnd/ 善良的；友好的（注：词表中未标，按中考高频补充）</x:v>
      </x:c>
    </x:row>
    <x:row r="705" ht="18" customHeight="1">
      <x:c r="A705" s="99" t="str">
        <x:v>K</x:v>
      </x:c>
      <x:c r="B705" s="99" t="str">
        <x:v>短语</x:v>
      </x:c>
      <x:c r="C705" s="99" t="n">
        <x:v>1</x:v>
      </x:c>
      <x:c r="D705" s="99" t="str">
        <x:v>keep</x:v>
      </x:c>
      <x:c r="E705" s="99" t="str"/>
      <x:c r="F705" s="99" t="str">
        <x:v>clear of… 不和……接触</x:v>
      </x:c>
      <x:c r="G705" s="99" t="str">
        <x:v>1. keep clear of… 不和……接触</x:v>
      </x:c>
    </x:row>
    <x:row r="706" ht="18" customHeight="1">
      <x:c r="A706" s="99" t="str">
        <x:v>L</x:v>
      </x:c>
      <x:c r="B706" s="99" t="str">
        <x:v>名词</x:v>
      </x:c>
      <x:c r="C706" s="99" t="n">
        <x:v>1</x:v>
      </x:c>
      <x:c r="D706" s="99" t="str">
        <x:v>lab (= laboratory)</x:v>
      </x:c>
      <x:c r="E706" s="99" t="str">
        <x:v>/læb/</x:v>
      </x:c>
      <x:c r="F706" s="99" t="str">
        <x:v>实验室</x:v>
      </x:c>
      <x:c r="G706" s="99" t="str">
        <x:v>1. lab (= laboratory) /læb/ 实验室</x:v>
      </x:c>
    </x:row>
    <x:row r="707" ht="18" customHeight="1">
      <x:c r="A707" s="99" t="str">
        <x:v>L</x:v>
      </x:c>
      <x:c r="B707" s="99" t="str">
        <x:v>名词</x:v>
      </x:c>
      <x:c r="C707" s="99" t="n">
        <x:v>2</x:v>
      </x:c>
      <x:c r="D707" s="99" t="str">
        <x:v>lake</x:v>
      </x:c>
      <x:c r="E707" s="99" t="str">
        <x:v>/leɪk/</x:v>
      </x:c>
      <x:c r="F707" s="99" t="str">
        <x:v>湖</x:v>
      </x:c>
      <x:c r="G707" s="99" t="str">
        <x:v>2. lake /leɪk/ 湖</x:v>
      </x:c>
    </x:row>
    <x:row r="708" ht="18" customHeight="1">
      <x:c r="A708" s="99" t="str">
        <x:v>L</x:v>
      </x:c>
      <x:c r="B708" s="99" t="str">
        <x:v>名词</x:v>
      </x:c>
      <x:c r="C708" s="99" t="n">
        <x:v>3</x:v>
      </x:c>
      <x:c r="D708" s="99" t="str">
        <x:v>land</x:v>
      </x:c>
      <x:c r="E708" s="99" t="str">
        <x:v>/lænd/</x:v>
      </x:c>
      <x:c r="F708" s="99" t="str">
        <x:v>陆地；地面</x:v>
      </x:c>
      <x:c r="G708" s="99" t="str">
        <x:v>3. land /lænd/ 陆地；地面</x:v>
      </x:c>
    </x:row>
    <x:row r="709" ht="18" customHeight="1">
      <x:c r="A709" s="99" t="str">
        <x:v>L</x:v>
      </x:c>
      <x:c r="B709" s="99" t="str">
        <x:v>名词</x:v>
      </x:c>
      <x:c r="C709" s="99" t="n">
        <x:v>4</x:v>
      </x:c>
      <x:c r="D709" s="99" t="str">
        <x:v>language</x:v>
      </x:c>
      <x:c r="E709" s="99" t="str">
        <x:v>/ˈlæŋɡwɪdʒ/</x:v>
      </x:c>
      <x:c r="F709" s="99" t="str">
        <x:v>语言</x:v>
      </x:c>
      <x:c r="G709" s="99" t="str">
        <x:v>4. language /ˈlæŋɡwɪdʒ/ 语言</x:v>
      </x:c>
    </x:row>
    <x:row r="710" ht="18" customHeight="1">
      <x:c r="A710" s="99" t="str">
        <x:v>L</x:v>
      </x:c>
      <x:c r="B710" s="99" t="str">
        <x:v>名词</x:v>
      </x:c>
      <x:c r="C710" s="99" t="n">
        <x:v>5</x:v>
      </x:c>
      <x:c r="D710" s="99" t="str">
        <x:v>lantern</x:v>
      </x:c>
      <x:c r="E710" s="99" t="str">
        <x:v>/ˈlæntən/</x:v>
      </x:c>
      <x:c r="F710" s="99" t="str">
        <x:v>灯笼</x:v>
      </x:c>
      <x:c r="G710" s="99" t="str">
        <x:v>5. lantern /ˈlæntən/ 灯笼</x:v>
      </x:c>
    </x:row>
    <x:row r="711" ht="18" customHeight="1">
      <x:c r="A711" s="99" t="str">
        <x:v>L</x:v>
      </x:c>
      <x:c r="B711" s="99" t="str">
        <x:v>名词</x:v>
      </x:c>
      <x:c r="C711" s="99" t="n">
        <x:v>6</x:v>
      </x:c>
      <x:c r="D711" s="99" t="str">
        <x:v>last</x:v>
      </x:c>
      <x:c r="E711" s="99" t="str">
        <x:v>/lɑːst/</x:v>
      </x:c>
      <x:c r="F711" s="99" t="str">
        <x:v>最后；末尾</x:v>
      </x:c>
      <x:c r="G711" s="99" t="str">
        <x:v>6. last /lɑːst/ 最后；末尾</x:v>
      </x:c>
    </x:row>
    <x:row r="712" ht="18" customHeight="1">
      <x:c r="A712" s="99" t="str">
        <x:v>L</x:v>
      </x:c>
      <x:c r="B712" s="99" t="str">
        <x:v>名词</x:v>
      </x:c>
      <x:c r="C712" s="99" t="n">
        <x:v>7</x:v>
      </x:c>
      <x:c r="D712" s="99" t="str">
        <x:v>late</x:v>
      </x:c>
      <x:c r="E712" s="99" t="str">
        <x:v>/leɪt/</x:v>
      </x:c>
      <x:c r="F712" s="99" t="str">
        <x:v>晚；迟</x:v>
      </x:c>
      <x:c r="G712" s="99" t="str">
        <x:v>7. late /leɪt/ 晚；迟</x:v>
      </x:c>
    </x:row>
    <x:row r="713" ht="18" customHeight="1">
      <x:c r="A713" s="99" t="str">
        <x:v>L</x:v>
      </x:c>
      <x:c r="B713" s="99" t="str">
        <x:v>名词</x:v>
      </x:c>
      <x:c r="C713" s="99" t="n">
        <x:v>8</x:v>
      </x:c>
      <x:c r="D713" s="99" t="str">
        <x:v>later</x:v>
      </x:c>
      <x:c r="E713" s="99" t="str">
        <x:v>/ˈleɪtə(r)/</x:v>
      </x:c>
      <x:c r="F713" s="99" t="str">
        <x:v>后来；以后</x:v>
      </x:c>
      <x:c r="G713" s="99" t="str">
        <x:v>8. later /ˈleɪtə(r)/ 后来；以后</x:v>
      </x:c>
    </x:row>
    <x:row r="714" ht="18" customHeight="1">
      <x:c r="A714" s="99" t="str">
        <x:v>L</x:v>
      </x:c>
      <x:c r="B714" s="99" t="str">
        <x:v>名词</x:v>
      </x:c>
      <x:c r="C714" s="99" t="n">
        <x:v>9</x:v>
      </x:c>
      <x:c r="D714" s="99" t="str">
        <x:v>laugh</x:v>
      </x:c>
      <x:c r="E714" s="99" t="str">
        <x:v>/lɑːf/</x:v>
      </x:c>
      <x:c r="F714" s="99" t="str">
        <x:v>笑；发笑</x:v>
      </x:c>
      <x:c r="G714" s="99" t="str">
        <x:v>9. laugh /lɑːf/ 笑；发笑</x:v>
      </x:c>
    </x:row>
    <x:row r="715" ht="18" customHeight="1">
      <x:c r="A715" s="99" t="str">
        <x:v>L</x:v>
      </x:c>
      <x:c r="B715" s="99" t="str">
        <x:v>名词</x:v>
      </x:c>
      <x:c r="C715" s="99" t="n">
        <x:v>10</x:v>
      </x:c>
      <x:c r="D715" s="99" t="str">
        <x:v>law</x:v>
      </x:c>
      <x:c r="E715" s="99" t="str">
        <x:v>/lɔː/</x:v>
      </x:c>
      <x:c r="F715" s="99" t="str">
        <x:v>法律（注：词表中未标，按中考高频补充）</x:v>
      </x:c>
      <x:c r="G715" s="99" t="str">
        <x:v>10. law /lɔː/ 法律（注：词表中未标，按中考高频补充）</x:v>
      </x:c>
    </x:row>
    <x:row r="716" ht="18" customHeight="1">
      <x:c r="A716" s="99" t="str">
        <x:v>L</x:v>
      </x:c>
      <x:c r="B716" s="99" t="str">
        <x:v>名词</x:v>
      </x:c>
      <x:c r="C716" s="99" t="n">
        <x:v>11</x:v>
      </x:c>
      <x:c r="D716" s="99" t="str">
        <x:v>lead</x:v>
      </x:c>
      <x:c r="E716" s="99" t="str">
        <x:v>/liːd/</x:v>
      </x:c>
      <x:c r="F716" s="99" t="str">
        <x:v>领导；率领</x:v>
      </x:c>
      <x:c r="G716" s="99" t="str">
        <x:v>11. lead /liːd/ 领导；率领</x:v>
      </x:c>
    </x:row>
    <x:row r="717" ht="18" customHeight="1">
      <x:c r="A717" s="99" t="str">
        <x:v>L</x:v>
      </x:c>
      <x:c r="B717" s="99" t="str">
        <x:v>名词</x:v>
      </x:c>
      <x:c r="C717" s="99" t="n">
        <x:v>12</x:v>
      </x:c>
      <x:c r="D717" s="99" t="str">
        <x:v>leaf</x:v>
      </x:c>
      <x:c r="E717" s="99" t="str">
        <x:v>/liːf/</x:v>
      </x:c>
      <x:c r="F717" s="99" t="str">
        <x:v>(pl. leaves /liːvz/) 叶子</x:v>
      </x:c>
      <x:c r="G717" s="99" t="str">
        <x:v>12. leaf /liːf/ (pl. leaves /liːvz/) 叶子</x:v>
      </x:c>
    </x:row>
    <x:row r="718" ht="18" customHeight="1">
      <x:c r="A718" s="99" t="str">
        <x:v>L</x:v>
      </x:c>
      <x:c r="B718" s="99" t="str">
        <x:v>名词</x:v>
      </x:c>
      <x:c r="C718" s="99" t="n">
        <x:v>13</x:v>
      </x:c>
      <x:c r="D718" s="99" t="str">
        <x:v>left</x:v>
      </x:c>
      <x:c r="E718" s="99" t="str">
        <x:v>/left/</x:v>
      </x:c>
      <x:c r="F718" s="99" t="str">
        <x:v>左边；左侧</x:v>
      </x:c>
      <x:c r="G718" s="99" t="str">
        <x:v>13. left /left/ 左边；左侧</x:v>
      </x:c>
    </x:row>
    <x:row r="719" ht="18" customHeight="1">
      <x:c r="A719" s="99" t="str">
        <x:v>L</x:v>
      </x:c>
      <x:c r="B719" s="99" t="str">
        <x:v>名词</x:v>
      </x:c>
      <x:c r="C719" s="99" t="n">
        <x:v>14</x:v>
      </x:c>
      <x:c r="D719" s="99" t="str">
        <x:v>leg</x:v>
      </x:c>
      <x:c r="E719" s="99" t="str">
        <x:v>/leɡ/</x:v>
      </x:c>
      <x:c r="F719" s="99" t="str">
        <x:v>腿</x:v>
      </x:c>
      <x:c r="G719" s="99" t="str">
        <x:v>14. leg /leɡ/ 腿</x:v>
      </x:c>
    </x:row>
    <x:row r="720" ht="18" customHeight="1">
      <x:c r="A720" s="99" t="str">
        <x:v>L</x:v>
      </x:c>
      <x:c r="B720" s="99" t="str">
        <x:v>名词</x:v>
      </x:c>
      <x:c r="C720" s="99" t="n">
        <x:v>15</x:v>
      </x:c>
      <x:c r="D720" s="99" t="str">
        <x:v>lemon</x:v>
      </x:c>
      <x:c r="E720" s="99" t="str">
        <x:v>/ˈlemən/</x:v>
      </x:c>
      <x:c r="F720" s="99" t="str">
        <x:v>柠檬</x:v>
      </x:c>
      <x:c r="G720" s="99" t="str">
        <x:v>15. lemon /ˈlemən/ 柠檬</x:v>
      </x:c>
    </x:row>
    <x:row r="721" ht="18" customHeight="1">
      <x:c r="A721" s="99" t="str">
        <x:v>L</x:v>
      </x:c>
      <x:c r="B721" s="99" t="str">
        <x:v>名词</x:v>
      </x:c>
      <x:c r="C721" s="99" t="n">
        <x:v>16</x:v>
      </x:c>
      <x:c r="D721" s="99" t="str">
        <x:v>lesson</x:v>
      </x:c>
      <x:c r="E721" s="99" t="str">
        <x:v>/ˈlesn/</x:v>
      </x:c>
      <x:c r="F721" s="99" t="str">
        <x:v>一节课；课</x:v>
      </x:c>
      <x:c r="G721" s="99" t="str">
        <x:v>16. lesson /ˈlesn/ 一节课；课</x:v>
      </x:c>
    </x:row>
    <x:row r="722" ht="18" customHeight="1">
      <x:c r="A722" s="99" t="str">
        <x:v>L</x:v>
      </x:c>
      <x:c r="B722" s="99" t="str">
        <x:v>名词</x:v>
      </x:c>
      <x:c r="C722" s="99" t="n">
        <x:v>17</x:v>
      </x:c>
      <x:c r="D722" s="99" t="str">
        <x:v>letter</x:v>
      </x:c>
      <x:c r="E722" s="99" t="str">
        <x:v>/ˈletə(r)/</x:v>
      </x:c>
      <x:c r="F722" s="99" t="str">
        <x:v>字母；信</x:v>
      </x:c>
      <x:c r="G722" s="99" t="str">
        <x:v>17. letter /ˈletə(r)/ 字母；信</x:v>
      </x:c>
    </x:row>
    <x:row r="723" ht="18" customHeight="1">
      <x:c r="A723" s="99" t="str">
        <x:v>L</x:v>
      </x:c>
      <x:c r="B723" s="99" t="str">
        <x:v>名词</x:v>
      </x:c>
      <x:c r="C723" s="99" t="n">
        <x:v>18</x:v>
      </x:c>
      <x:c r="D723" s="99" t="str">
        <x:v>level</x:v>
      </x:c>
      <x:c r="E723" s="99" t="str">
        <x:v>/ˈlevl/</x:v>
      </x:c>
      <x:c r="F723" s="99" t="str">
        <x:v>水平</x:v>
      </x:c>
      <x:c r="G723" s="99" t="str">
        <x:v>18. level /ˈlevl/ 水平</x:v>
      </x:c>
    </x:row>
    <x:row r="724" ht="18" customHeight="1">
      <x:c r="A724" s="99" t="str">
        <x:v>L</x:v>
      </x:c>
      <x:c r="B724" s="99" t="str">
        <x:v>名词</x:v>
      </x:c>
      <x:c r="C724" s="99" t="n">
        <x:v>19</x:v>
      </x:c>
      <x:c r="D724" s="99" t="str">
        <x:v>library</x:v>
      </x:c>
      <x:c r="E724" s="99" t="str">
        <x:v>/ˈlaɪbrəri/</x:v>
      </x:c>
      <x:c r="F724" s="99" t="str">
        <x:v>图书馆</x:v>
      </x:c>
      <x:c r="G724" s="99" t="str">
        <x:v>19. library /ˈlaɪbrəri/ 图书馆</x:v>
      </x:c>
    </x:row>
    <x:row r="725" ht="18" customHeight="1">
      <x:c r="A725" s="99" t="str">
        <x:v>L</x:v>
      </x:c>
      <x:c r="B725" s="99" t="str">
        <x:v>名词</x:v>
      </x:c>
      <x:c r="C725" s="99" t="n">
        <x:v>20</x:v>
      </x:c>
      <x:c r="D725" s="99" t="str">
        <x:v>light</x:v>
      </x:c>
      <x:c r="E725" s="99" t="str">
        <x:v>/laɪt/</x:v>
      </x:c>
      <x:c r="F725" s="99" t="str">
        <x:v>光；光线；光亮</x:v>
      </x:c>
      <x:c r="G725" s="99" t="str">
        <x:v>20. light /laɪt/ 光；光线；光亮</x:v>
      </x:c>
    </x:row>
    <x:row r="726" ht="18" customHeight="1">
      <x:c r="A726" s="99" t="str">
        <x:v>L</x:v>
      </x:c>
      <x:c r="B726" s="99" t="str">
        <x:v>名词</x:v>
      </x:c>
      <x:c r="C726" s="99" t="n">
        <x:v>21</x:v>
      </x:c>
      <x:c r="D726" s="99" t="str">
        <x:v>line</x:v>
      </x:c>
      <x:c r="E726" s="99" t="str">
        <x:v>/laɪn/</x:v>
      </x:c>
      <x:c r="F726" s="99" t="str">
        <x:v>线；排；列</x:v>
      </x:c>
      <x:c r="G726" s="99" t="str">
        <x:v>21. line /laɪn/ 线；排；列</x:v>
      </x:c>
    </x:row>
    <x:row r="727" ht="18" customHeight="1">
      <x:c r="A727" s="99" t="str">
        <x:v>L</x:v>
      </x:c>
      <x:c r="B727" s="99" t="str">
        <x:v>名词</x:v>
      </x:c>
      <x:c r="C727" s="99" t="n">
        <x:v>22</x:v>
      </x:c>
      <x:c r="D727" s="99" t="str">
        <x:v>list</x:v>
      </x:c>
      <x:c r="E727" s="99" t="str">
        <x:v>/lɪst/</x:v>
      </x:c>
      <x:c r="F727" s="99" t="str">
        <x:v>名单；清单</x:v>
      </x:c>
      <x:c r="G727" s="99" t="str">
        <x:v>22. list /lɪst/ 名单；清单</x:v>
      </x:c>
    </x:row>
    <x:row r="728" ht="18" customHeight="1">
      <x:c r="A728" s="99" t="str">
        <x:v>L</x:v>
      </x:c>
      <x:c r="B728" s="99" t="str">
        <x:v>名词</x:v>
      </x:c>
      <x:c r="C728" s="99" t="n">
        <x:v>23</x:v>
      </x:c>
      <x:c r="D728" s="99" t="str">
        <x:v>listen</x:v>
      </x:c>
      <x:c r="E728" s="99" t="str">
        <x:v>/ˈlɪsn/</x:v>
      </x:c>
      <x:c r="F728" s="99" t="str">
        <x:v>听；倾听</x:v>
      </x:c>
      <x:c r="G728" s="99" t="str">
        <x:v>23. listen /ˈlɪsn/ 听；倾听</x:v>
      </x:c>
    </x:row>
    <x:row r="729" ht="18" customHeight="1">
      <x:c r="A729" s="99" t="str">
        <x:v>L</x:v>
      </x:c>
      <x:c r="B729" s="99" t="str">
        <x:v>名词</x:v>
      </x:c>
      <x:c r="C729" s="99" t="n">
        <x:v>24</x:v>
      </x:c>
      <x:c r="D729" s="99" t="str">
        <x:v>litter</x:v>
      </x:c>
      <x:c r="E729" s="99" t="str">
        <x:v>/ˈlɪtə(r)/</x:v>
      </x:c>
      <x:c r="F729" s="99" t="str">
        <x:v>垃圾</x:v>
      </x:c>
      <x:c r="G729" s="99" t="str">
        <x:v>24. litter /ˈlɪtə(r)/ 垃圾</x:v>
      </x:c>
    </x:row>
    <x:row r="730" ht="18" customHeight="1">
      <x:c r="A730" s="99" t="str">
        <x:v>L</x:v>
      </x:c>
      <x:c r="B730" s="99" t="str">
        <x:v>名词</x:v>
      </x:c>
      <x:c r="C730" s="99" t="n">
        <x:v>25</x:v>
      </x:c>
      <x:c r="D730" s="99" t="str">
        <x:v>little</x:v>
      </x:c>
      <x:c r="E730" s="99" t="str">
        <x:v>/ˈlɪtl/</x:v>
      </x:c>
      <x:c r="F730" s="99" t="str">
        <x:v>少量；少许</x:v>
      </x:c>
      <x:c r="G730" s="99" t="str">
        <x:v>25. little /ˈlɪtl/ 少量；少许</x:v>
      </x:c>
    </x:row>
    <x:row r="731" ht="18" customHeight="1">
      <x:c r="A731" s="99" t="str">
        <x:v>L</x:v>
      </x:c>
      <x:c r="B731" s="99" t="str">
        <x:v>名词</x:v>
      </x:c>
      <x:c r="C731" s="99" t="n">
        <x:v>26</x:v>
      </x:c>
      <x:c r="D731" s="99" t="str">
        <x:v>live</x:v>
      </x:c>
      <x:c r="E731" s="99" t="str">
        <x:v>/lɪv/</x:v>
      </x:c>
      <x:c r="F731" s="99" t="str">
        <x:v>生活；生命</x:v>
      </x:c>
      <x:c r="G731" s="99" t="str">
        <x:v>26. live /lɪv/ 生活；生命</x:v>
      </x:c>
    </x:row>
    <x:row r="732" ht="18" customHeight="1">
      <x:c r="A732" s="99" t="str">
        <x:v>L</x:v>
      </x:c>
      <x:c r="B732" s="99" t="str">
        <x:v>名词</x:v>
      </x:c>
      <x:c r="C732" s="99" t="n">
        <x:v>27</x:v>
      </x:c>
      <x:c r="D732" s="99" t="str">
        <x:v>living room</x:v>
      </x:c>
      <x:c r="E732" s="99" t="str">
        <x:v>/ˈlɪvɪŋ ruːm/</x:v>
      </x:c>
      <x:c r="F732" s="99" t="str">
        <x:v>起居室；客厅</x:v>
      </x:c>
      <x:c r="G732" s="99" t="str">
        <x:v>27. living room /ˈlɪvɪŋ ruːm/ 起居室；客厅</x:v>
      </x:c>
    </x:row>
    <x:row r="733" ht="18" customHeight="1">
      <x:c r="A733" s="99" t="str">
        <x:v>L</x:v>
      </x:c>
      <x:c r="B733" s="99" t="str">
        <x:v>名词</x:v>
      </x:c>
      <x:c r="C733" s="99" t="n">
        <x:v>28</x:v>
      </x:c>
      <x:c r="D733" s="99" t="str">
        <x:v>local</x:v>
      </x:c>
      <x:c r="E733" s="99" t="str">
        <x:v>/ˈləʊkl/</x:v>
      </x:c>
      <x:c r="F733" s="99" t="str">
        <x:v>当地人</x:v>
      </x:c>
      <x:c r="G733" s="99" t="str">
        <x:v>28. local /ˈləʊkl/ 当地人</x:v>
      </x:c>
    </x:row>
    <x:row r="734" ht="18" customHeight="1">
      <x:c r="A734" s="99" t="str">
        <x:v>L</x:v>
      </x:c>
      <x:c r="B734" s="99" t="str">
        <x:v>名词</x:v>
      </x:c>
      <x:c r="C734" s="99" t="n">
        <x:v>29</x:v>
      </x:c>
      <x:c r="D734" s="99" t="str">
        <x:v>London</x:v>
      </x:c>
      <x:c r="E734" s="99" t="str">
        <x:v>/ˈlʌndən/</x:v>
      </x:c>
      <x:c r="F734" s="99" t="str">
        <x:v>伦敦</x:v>
      </x:c>
      <x:c r="G734" s="99" t="str">
        <x:v>29. London /ˈlʌndən/ 伦敦</x:v>
      </x:c>
    </x:row>
    <x:row r="735" ht="18" customHeight="1">
      <x:c r="A735" s="99" t="str">
        <x:v>L</x:v>
      </x:c>
      <x:c r="B735" s="99" t="str">
        <x:v>名词</x:v>
      </x:c>
      <x:c r="C735" s="99" t="n">
        <x:v>30</x:v>
      </x:c>
      <x:c r="D735" s="99" t="str">
        <x:v>look</x:v>
      </x:c>
      <x:c r="E735" s="99" t="str">
        <x:v>/lʊk/</x:v>
      </x:c>
      <x:c r="F735" s="99" t="str">
        <x:v>看；瞧</x:v>
      </x:c>
      <x:c r="G735" s="99" t="str">
        <x:v>30. look /lʊk/ 看；瞧</x:v>
      </x:c>
    </x:row>
    <x:row r="736" ht="18" customHeight="1">
      <x:c r="A736" s="99" t="str">
        <x:v>L</x:v>
      </x:c>
      <x:c r="B736" s="99" t="str">
        <x:v>名词</x:v>
      </x:c>
      <x:c r="C736" s="99" t="n">
        <x:v>31</x:v>
      </x:c>
      <x:c r="D736" s="99" t="str">
        <x:v>lot</x:v>
      </x:c>
      <x:c r="E736" s="99" t="str">
        <x:v>/lɒt/</x:v>
      </x:c>
      <x:c r="F736" s="99" t="str">
        <x:v>大量；许多</x:v>
      </x:c>
      <x:c r="G736" s="99" t="str">
        <x:v>31. lot /lɒt/ 大量；许多</x:v>
      </x:c>
    </x:row>
    <x:row r="737" ht="18" customHeight="1">
      <x:c r="A737" s="99" t="str">
        <x:v>L</x:v>
      </x:c>
      <x:c r="B737" s="99" t="str">
        <x:v>名词</x:v>
      </x:c>
      <x:c r="C737" s="99" t="n">
        <x:v>32</x:v>
      </x:c>
      <x:c r="D737" s="99" t="str">
        <x:v>love</x:v>
      </x:c>
      <x:c r="E737" s="99" t="str">
        <x:v>/lʌv/</x:v>
      </x:c>
      <x:c r="F737" s="99" t="str">
        <x:v>爱；热爱</x:v>
      </x:c>
      <x:c r="G737" s="99" t="str">
        <x:v>32. love /lʌv/ 爱；热爱</x:v>
      </x:c>
    </x:row>
    <x:row r="738" ht="18" customHeight="1">
      <x:c r="A738" s="99" t="str">
        <x:v>L</x:v>
      </x:c>
      <x:c r="B738" s="99" t="str">
        <x:v>名词</x:v>
      </x:c>
      <x:c r="C738" s="99" t="n">
        <x:v>33</x:v>
      </x:c>
      <x:c r="D738" s="99" t="str">
        <x:v>luck</x:v>
      </x:c>
      <x:c r="E738" s="99" t="str">
        <x:v>/lʌk/</x:v>
      </x:c>
      <x:c r="F738" s="99" t="str">
        <x:v>运气</x:v>
      </x:c>
      <x:c r="G738" s="99" t="str">
        <x:v>33. luck /lʌk/ 运气</x:v>
      </x:c>
    </x:row>
    <x:row r="739" ht="18" customHeight="1">
      <x:c r="A739" s="99" t="str">
        <x:v>L</x:v>
      </x:c>
      <x:c r="B739" s="99" t="str">
        <x:v>名词</x:v>
      </x:c>
      <x:c r="C739" s="99" t="n">
        <x:v>34</x:v>
      </x:c>
      <x:c r="D739" s="99" t="str">
        <x:v>lunch</x:v>
      </x:c>
      <x:c r="E739" s="99" t="str">
        <x:v>/lʌntʃ/</x:v>
      </x:c>
      <x:c r="F739" s="99" t="str">
        <x:v>午饭</x:v>
      </x:c>
      <x:c r="G739" s="99" t="str">
        <x:v>34. lunch /lʌntʃ/ 午饭</x:v>
      </x:c>
    </x:row>
    <x:row r="740" ht="18" customHeight="1">
      <x:c r="A740" s="99" t="str">
        <x:v>L</x:v>
      </x:c>
      <x:c r="B740" s="99" t="str">
        <x:v>动词</x:v>
      </x:c>
      <x:c r="C740" s="99" t="n">
        <x:v>1</x:v>
      </x:c>
      <x:c r="D740" s="99" t="str">
        <x:v>land</x:v>
      </x:c>
      <x:c r="E740" s="99" t="str">
        <x:v>/lænd/</x:v>
      </x:c>
      <x:c r="F740" s="99" t="str">
        <x:v>降落（或跳落、跌落）到地面（或水面上）</x:v>
      </x:c>
      <x:c r="G740" s="99" t="str">
        <x:v>1. land /lænd/ 降落（或跳落、跌落）到地面（或水面上）</x:v>
      </x:c>
    </x:row>
    <x:row r="741" ht="18" customHeight="1">
      <x:c r="A741" s="99" t="str">
        <x:v>L</x:v>
      </x:c>
      <x:c r="B741" s="99" t="str">
        <x:v>动词</x:v>
      </x:c>
      <x:c r="C741" s="99" t="n">
        <x:v>2</x:v>
      </x:c>
      <x:c r="D741" s="99" t="str">
        <x:v>laugh</x:v>
      </x:c>
      <x:c r="E741" s="99" t="str">
        <x:v>/lɑːf/</x:v>
      </x:c>
      <x:c r="F741" s="99" t="str">
        <x:v>笑；发笑</x:v>
      </x:c>
      <x:c r="G741" s="99" t="str">
        <x:v>2. laugh /lɑːf/ 笑；发笑</x:v>
      </x:c>
    </x:row>
    <x:row r="742" ht="18" customHeight="1">
      <x:c r="A742" s="99" t="str">
        <x:v>L</x:v>
      </x:c>
      <x:c r="B742" s="99" t="str">
        <x:v>动词</x:v>
      </x:c>
      <x:c r="C742" s="99" t="n">
        <x:v>3</x:v>
      </x:c>
      <x:c r="D742" s="99" t="str">
        <x:v>lead</x:v>
      </x:c>
      <x:c r="E742" s="99" t="str">
        <x:v>/liːd/</x:v>
      </x:c>
      <x:c r="F742" s="99" t="str">
        <x:v>(led /led/; led) 领导；率领</x:v>
      </x:c>
      <x:c r="G742" s="99" t="str">
        <x:v>3. lead /liːd/ (led /led/; led) 领导；率领</x:v>
      </x:c>
    </x:row>
    <x:row r="743" ht="18" customHeight="1">
      <x:c r="A743" s="99" t="str">
        <x:v>L</x:v>
      </x:c>
      <x:c r="B743" s="99" t="str">
        <x:v>动词</x:v>
      </x:c>
      <x:c r="C743" s="99" t="n">
        <x:v>4</x:v>
      </x:c>
      <x:c r="D743" s="99" t="str">
        <x:v>learn</x:v>
      </x:c>
      <x:c r="E743" s="99" t="str">
        <x:v>/lɜːn/</x:v>
      </x:c>
      <x:c r="F743" s="99" t="str">
        <x:v>(learnt/learned; learnt/learned) 学；学习</x:v>
      </x:c>
      <x:c r="G743" s="99" t="str">
        <x:v>4. learn /lɜːn/ (learnt/learned; learnt/learned) 学；学习</x:v>
      </x:c>
    </x:row>
    <x:row r="744" ht="18" customHeight="1">
      <x:c r="A744" s="99" t="str">
        <x:v>L</x:v>
      </x:c>
      <x:c r="B744" s="99" t="str">
        <x:v>动词</x:v>
      </x:c>
      <x:c r="C744" s="99" t="n">
        <x:v>5</x:v>
      </x:c>
      <x:c r="D744" s="99" t="str">
        <x:v>leave</x:v>
      </x:c>
      <x:c r="E744" s="99" t="str">
        <x:v>/liːv/</x:v>
      </x:c>
      <x:c r="F744" s="99" t="str">
        <x:v>(left /left/; left) 离开；丢下；遗忘</x:v>
      </x:c>
      <x:c r="G744" s="99" t="str">
        <x:v>5. leave /liːv/ (left /left/; left) 离开；丢下；遗忘</x:v>
      </x:c>
    </x:row>
    <x:row r="745" ht="18" customHeight="1">
      <x:c r="A745" s="99" t="str">
        <x:v>L</x:v>
      </x:c>
      <x:c r="B745" s="99" t="str">
        <x:v>动词</x:v>
      </x:c>
      <x:c r="C745" s="99" t="n">
        <x:v>6</x:v>
      </x:c>
      <x:c r="D745" s="99" t="str">
        <x:v>lend</x:v>
      </x:c>
      <x:c r="E745" s="99" t="str">
        <x:v>/lend/</x:v>
      </x:c>
      <x:c r="F745" s="99" t="str">
        <x:v>(lent /lent/; lent) 借出（注：词表中未标，按中考高频补充）</x:v>
      </x:c>
      <x:c r="G745" s="99" t="str">
        <x:v>6. lend /lend/ (lent /lent/; lent) 借出（注：词表中未标，按中考高频补充）</x:v>
      </x:c>
    </x:row>
    <x:row r="746" ht="18" customHeight="1">
      <x:c r="A746" s="99" t="str">
        <x:v>L</x:v>
      </x:c>
      <x:c r="B746" s="99" t="str">
        <x:v>动词</x:v>
      </x:c>
      <x:c r="C746" s="99" t="n">
        <x:v>7</x:v>
      </x:c>
      <x:c r="D746" s="99" t="str">
        <x:v>let</x:v>
      </x:c>
      <x:c r="E746" s="99" t="str">
        <x:v>/let/</x:v>
      </x:c>
      <x:c r="F746" s="99" t="str">
        <x:v>让；使</x:v>
      </x:c>
      <x:c r="G746" s="99" t="str">
        <x:v>7. let /let/ 让；使</x:v>
      </x:c>
    </x:row>
    <x:row r="747" ht="18" customHeight="1">
      <x:c r="A747" s="99" t="str">
        <x:v>L</x:v>
      </x:c>
      <x:c r="B747" s="99" t="str">
        <x:v>动词</x:v>
      </x:c>
      <x:c r="C747" s="99" t="n">
        <x:v>8</x:v>
      </x:c>
      <x:c r="D747" s="99" t="str">
        <x:v>lift</x:v>
      </x:c>
      <x:c r="E747" s="99" t="str">
        <x:v>/lɪft/</x:v>
      </x:c>
      <x:c r="F747" s="99" t="str">
        <x:v>举起；抬起；提起</x:v>
      </x:c>
      <x:c r="G747" s="99" t="str">
        <x:v>8. lift /lɪft/ 举起；抬起；提起</x:v>
      </x:c>
    </x:row>
    <x:row r="748" ht="18" customHeight="1">
      <x:c r="A748" s="99" t="str">
        <x:v>L</x:v>
      </x:c>
      <x:c r="B748" s="99" t="str">
        <x:v>动词</x:v>
      </x:c>
      <x:c r="C748" s="99" t="n">
        <x:v>9</x:v>
      </x:c>
      <x:c r="D748" s="99" t="str">
        <x:v>light</x:v>
      </x:c>
      <x:c r="E748" s="99" t="str">
        <x:v>/laɪt/</x:v>
      </x:c>
      <x:c r="F748" s="99" t="str">
        <x:v>点燃；照亮（注：词表中未标，按中考高频补充）</x:v>
      </x:c>
      <x:c r="G748" s="99" t="str">
        <x:v>9. light /laɪt/ 点燃；照亮（注：词表中未标，按中考高频补充）</x:v>
      </x:c>
    </x:row>
    <x:row r="749" ht="18" customHeight="1">
      <x:c r="A749" s="99" t="str">
        <x:v>L</x:v>
      </x:c>
      <x:c r="B749" s="99" t="str">
        <x:v>动词</x:v>
      </x:c>
      <x:c r="C749" s="99" t="n">
        <x:v>10</x:v>
      </x:c>
      <x:c r="D749" s="99" t="str">
        <x:v>like</x:v>
      </x:c>
      <x:c r="E749" s="99" t="str">
        <x:v>/laɪk/</x:v>
      </x:c>
      <x:c r="F749" s="99" t="str">
        <x:v>喜欢；喜爱</x:v>
      </x:c>
      <x:c r="G749" s="99" t="str">
        <x:v>10. like /laɪk/ 喜欢；喜爱</x:v>
      </x:c>
    </x:row>
    <x:row r="750" ht="18" customHeight="1">
      <x:c r="A750" s="99" t="str">
        <x:v>L</x:v>
      </x:c>
      <x:c r="B750" s="99" t="str">
        <x:v>动词</x:v>
      </x:c>
      <x:c r="C750" s="99" t="n">
        <x:v>11</x:v>
      </x:c>
      <x:c r="D750" s="99" t="str">
        <x:v>listen</x:v>
      </x:c>
      <x:c r="E750" s="99" t="str">
        <x:v>/ˈlɪsn/</x:v>
      </x:c>
      <x:c r="F750" s="99" t="str">
        <x:v>听；倾听</x:v>
      </x:c>
      <x:c r="G750" s="99" t="str">
        <x:v>11. listen /ˈlɪsn/ 听；倾听</x:v>
      </x:c>
    </x:row>
    <x:row r="751" ht="18" customHeight="1">
      <x:c r="A751" s="99" t="str">
        <x:v>L</x:v>
      </x:c>
      <x:c r="B751" s="99" t="str">
        <x:v>动词</x:v>
      </x:c>
      <x:c r="C751" s="99" t="n">
        <x:v>12</x:v>
      </x:c>
      <x:c r="D751" s="99" t="str">
        <x:v>live</x:v>
      </x:c>
      <x:c r="E751" s="99" t="str">
        <x:v>/lɪv/</x:v>
      </x:c>
      <x:c r="F751" s="99" t="str">
        <x:v>生活；居住</x:v>
      </x:c>
      <x:c r="G751" s="99" t="str">
        <x:v>12. live /lɪv/ 生活；居住</x:v>
      </x:c>
    </x:row>
    <x:row r="752" ht="18" customHeight="1">
      <x:c r="A752" s="99" t="str">
        <x:v>L</x:v>
      </x:c>
      <x:c r="B752" s="99" t="str">
        <x:v>动词</x:v>
      </x:c>
      <x:c r="C752" s="99" t="n">
        <x:v>13</x:v>
      </x:c>
      <x:c r="D752" s="99" t="str">
        <x:v>look</x:v>
      </x:c>
      <x:c r="E752" s="99" t="str">
        <x:v>/lʊk/</x:v>
      </x:c>
      <x:c r="F752" s="99" t="str">
        <x:v>看；瞧；寻找</x:v>
      </x:c>
      <x:c r="G752" s="99" t="str">
        <x:v>13. look /lʊk/ 看；瞧；寻找</x:v>
      </x:c>
    </x:row>
    <x:row r="753" ht="18" customHeight="1">
      <x:c r="A753" s="99" t="str">
        <x:v>L</x:v>
      </x:c>
      <x:c r="B753" s="99" t="str">
        <x:v>动词</x:v>
      </x:c>
      <x:c r="C753" s="99" t="n">
        <x:v>14</x:v>
      </x:c>
      <x:c r="D753" s="99" t="str">
        <x:v>lose</x:v>
      </x:c>
      <x:c r="E753" s="99" t="str">
        <x:v>/luːz/</x:v>
      </x:c>
      <x:c r="F753" s="99" t="str">
        <x:v>(lost /lɒst/; lost) 失去；迷失</x:v>
      </x:c>
      <x:c r="G753" s="99" t="str">
        <x:v>14. lose /luːz/ (lost /lɒst/; lost) 失去；迷失</x:v>
      </x:c>
    </x:row>
    <x:row r="754" ht="18" customHeight="1">
      <x:c r="A754" s="99" t="str">
        <x:v>L</x:v>
      </x:c>
      <x:c r="B754" s="99" t="str">
        <x:v>动词</x:v>
      </x:c>
      <x:c r="C754" s="99" t="n">
        <x:v>15</x:v>
      </x:c>
      <x:c r="D754" s="99" t="str">
        <x:v>love</x:v>
      </x:c>
      <x:c r="E754" s="99" t="str">
        <x:v>/lʌv/</x:v>
      </x:c>
      <x:c r="F754" s="99" t="str">
        <x:v>爱；热爱</x:v>
      </x:c>
      <x:c r="G754" s="99" t="str">
        <x:v>15. love /lʌv/ 爱；热爱</x:v>
      </x:c>
    </x:row>
    <x:row r="755" ht="18" customHeight="1">
      <x:c r="A755" s="99" t="str">
        <x:v>L</x:v>
      </x:c>
      <x:c r="B755" s="99" t="str">
        <x:v>动词</x:v>
      </x:c>
      <x:c r="C755" s="99" t="n">
        <x:v>16</x:v>
      </x:c>
      <x:c r="D755" s="99" t="str">
        <x:v>lunch</x:v>
      </x:c>
      <x:c r="E755" s="99" t="str">
        <x:v>/lʌntʃ/</x:v>
      </x:c>
      <x:c r="F755" s="99" t="str">
        <x:v>吃午餐</x:v>
      </x:c>
      <x:c r="G755" s="99" t="str">
        <x:v>16. lunch /lʌntʃ/ 吃午餐</x:v>
      </x:c>
    </x:row>
    <x:row r="756" ht="18" customHeight="1">
      <x:c r="A756" s="99" t="str">
        <x:v>L</x:v>
      </x:c>
      <x:c r="B756" s="99" t="str">
        <x:v>形容词</x:v>
      </x:c>
      <x:c r="C756" s="99" t="n">
        <x:v>1</x:v>
      </x:c>
      <x:c r="D756" s="99" t="str">
        <x:v>large</x:v>
      </x:c>
      <x:c r="E756" s="99" t="str">
        <x:v>/lɑːdʒ/</x:v>
      </x:c>
      <x:c r="F756" s="99" t="str">
        <x:v>大的；巨大的</x:v>
      </x:c>
      <x:c r="G756" s="99" t="str">
        <x:v>1. large /lɑːdʒ/ 大的；巨大的</x:v>
      </x:c>
    </x:row>
    <x:row r="757" ht="18" customHeight="1">
      <x:c r="A757" s="99" t="str">
        <x:v>L</x:v>
      </x:c>
      <x:c r="B757" s="99" t="str">
        <x:v>形容词</x:v>
      </x:c>
      <x:c r="C757" s="99" t="n">
        <x:v>2</x:v>
      </x:c>
      <x:c r="D757" s="99" t="str">
        <x:v>last</x:v>
      </x:c>
      <x:c r="E757" s="99" t="str">
        <x:v>/lɑːst/</x:v>
      </x:c>
      <x:c r="F757" s="99" t="str">
        <x:v>最后的；最近的</x:v>
      </x:c>
      <x:c r="G757" s="99" t="str">
        <x:v>2. last /lɑːst/ 最后的；最近的</x:v>
      </x:c>
    </x:row>
    <x:row r="758" ht="18" customHeight="1">
      <x:c r="A758" s="99" t="str">
        <x:v>L</x:v>
      </x:c>
      <x:c r="B758" s="99" t="str">
        <x:v>形容词</x:v>
      </x:c>
      <x:c r="C758" s="99" t="n">
        <x:v>3</x:v>
      </x:c>
      <x:c r="D758" s="99" t="str">
        <x:v>late</x:v>
      </x:c>
      <x:c r="E758" s="99" t="str">
        <x:v>/leɪt/</x:v>
      </x:c>
      <x:c r="F758" s="99" t="str">
        <x:v>迟的；晚的</x:v>
      </x:c>
      <x:c r="G758" s="99" t="str">
        <x:v>3. late /leɪt/ 迟的；晚的</x:v>
      </x:c>
    </x:row>
    <x:row r="759" ht="18" customHeight="1">
      <x:c r="A759" s="99" t="str">
        <x:v>L</x:v>
      </x:c>
      <x:c r="B759" s="99" t="str">
        <x:v>形容词</x:v>
      </x:c>
      <x:c r="C759" s="99" t="n">
        <x:v>4</x:v>
      </x:c>
      <x:c r="D759" s="99" t="str">
        <x:v>later</x:v>
      </x:c>
      <x:c r="E759" s="99" t="str">
        <x:v>/ˈleɪtə(r)/</x:v>
      </x:c>
      <x:c r="F759" s="99" t="str">
        <x:v>更迟的；更晚的</x:v>
      </x:c>
      <x:c r="G759" s="99" t="str">
        <x:v>4. later /ˈleɪtə(r)/ 更迟的；更晚的</x:v>
      </x:c>
    </x:row>
    <x:row r="760" ht="18" customHeight="1">
      <x:c r="A760" s="99" t="str">
        <x:v>L</x:v>
      </x:c>
      <x:c r="B760" s="99" t="str">
        <x:v>形容词</x:v>
      </x:c>
      <x:c r="C760" s="99" t="n">
        <x:v>5</x:v>
      </x:c>
      <x:c r="D760" s="99" t="str">
        <x:v>left</x:v>
      </x:c>
      <x:c r="E760" s="99" t="str">
        <x:v>/left/</x:v>
      </x:c>
      <x:c r="F760" s="99" t="str">
        <x:v>左边的；左侧的</x:v>
      </x:c>
      <x:c r="G760" s="99" t="str">
        <x:v>5. left /left/ 左边的；左侧的</x:v>
      </x:c>
    </x:row>
    <x:row r="761" ht="18" customHeight="1">
      <x:c r="A761" s="99" t="str">
        <x:v>L</x:v>
      </x:c>
      <x:c r="B761" s="99" t="str">
        <x:v>形容词</x:v>
      </x:c>
      <x:c r="C761" s="99" t="n">
        <x:v>6</x:v>
      </x:c>
      <x:c r="D761" s="99" t="str">
        <x:v>light</x:v>
      </x:c>
      <x:c r="E761" s="99" t="str">
        <x:v>/laɪt/</x:v>
      </x:c>
      <x:c r="F761" s="99" t="str">
        <x:v>轻的；少量的；淡色的；明亮的</x:v>
      </x:c>
      <x:c r="G761" s="99" t="str">
        <x:v>6. light /laɪt/ 轻的；少量的；淡色的；明亮的</x:v>
      </x:c>
    </x:row>
    <x:row r="762" ht="18" customHeight="1">
      <x:c r="A762" s="99" t="str">
        <x:v>L</x:v>
      </x:c>
      <x:c r="B762" s="99" t="str">
        <x:v>形容词</x:v>
      </x:c>
      <x:c r="C762" s="99" t="n">
        <x:v>7</x:v>
      </x:c>
      <x:c r="D762" s="99" t="str">
        <x:v>little</x:v>
      </x:c>
      <x:c r="E762" s="99" t="str">
        <x:v>/ˈlɪtl/</x:v>
      </x:c>
      <x:c r="F762" s="99" t="str">
        <x:v>小的；少量的；年幼的</x:v>
      </x:c>
      <x:c r="G762" s="99" t="str">
        <x:v>7. little /ˈlɪtl/ 小的；少量的；年幼的</x:v>
      </x:c>
    </x:row>
    <x:row r="763" ht="18" customHeight="1">
      <x:c r="A763" s="99" t="str">
        <x:v>L</x:v>
      </x:c>
      <x:c r="B763" s="99" t="str">
        <x:v>形容词</x:v>
      </x:c>
      <x:c r="C763" s="99" t="n">
        <x:v>8</x:v>
      </x:c>
      <x:c r="D763" s="99" t="str">
        <x:v>lively</x:v>
      </x:c>
      <x:c r="E763" s="99" t="str">
        <x:v>/ˈlaɪvli/</x:v>
      </x:c>
      <x:c r="F763" s="99" t="str">
        <x:v>活泼的；轻快的</x:v>
      </x:c>
      <x:c r="G763" s="99" t="str">
        <x:v>8. lively /ˈlaɪvli/ 活泼的；轻快的</x:v>
      </x:c>
    </x:row>
    <x:row r="764" ht="18" customHeight="1">
      <x:c r="A764" s="99" t="str">
        <x:v>L</x:v>
      </x:c>
      <x:c r="B764" s="99" t="str">
        <x:v>形容词</x:v>
      </x:c>
      <x:c r="C764" s="99" t="n">
        <x:v>9</x:v>
      </x:c>
      <x:c r="D764" s="99" t="str">
        <x:v>local</x:v>
      </x:c>
      <x:c r="E764" s="99" t="str">
        <x:v>/ˈləʊkl/</x:v>
      </x:c>
      <x:c r="F764" s="99" t="str">
        <x:v>当地的；本地的</x:v>
      </x:c>
      <x:c r="G764" s="99" t="str">
        <x:v>9. local /ˈləʊkl/ 当地的；本地的</x:v>
      </x:c>
    </x:row>
    <x:row r="765" ht="18" customHeight="1">
      <x:c r="A765" s="99" t="str">
        <x:v>L</x:v>
      </x:c>
      <x:c r="B765" s="99" t="str">
        <x:v>形容词</x:v>
      </x:c>
      <x:c r="C765" s="99" t="n">
        <x:v>10</x:v>
      </x:c>
      <x:c r="D765" s="99" t="str">
        <x:v>lonely</x:v>
      </x:c>
      <x:c r="E765" s="99" t="str">
        <x:v>/ˈləʊnli/</x:v>
      </x:c>
      <x:c r="F765" s="99" t="str">
        <x:v>孤独的；寂寞的</x:v>
      </x:c>
      <x:c r="G765" s="99" t="str">
        <x:v>10. lonely /ˈləʊnli/ 孤独的；寂寞的</x:v>
      </x:c>
    </x:row>
    <x:row r="766" ht="18" customHeight="1">
      <x:c r="A766" s="99" t="str">
        <x:v>L</x:v>
      </x:c>
      <x:c r="B766" s="99" t="str">
        <x:v>形容词</x:v>
      </x:c>
      <x:c r="C766" s="99" t="n">
        <x:v>11</x:v>
      </x:c>
      <x:c r="D766" s="99" t="str">
        <x:v>long</x:v>
      </x:c>
      <x:c r="E766" s="99" t="str">
        <x:v>/lɒŋ/</x:v>
      </x:c>
      <x:c r="F766" s="99" t="str">
        <x:v>长的；长时间的</x:v>
      </x:c>
      <x:c r="G766" s="99" t="str">
        <x:v>11. long /lɒŋ/ 长的；长时间的</x:v>
      </x:c>
    </x:row>
    <x:row r="767" ht="18" customHeight="1">
      <x:c r="A767" s="99" t="str">
        <x:v>L</x:v>
      </x:c>
      <x:c r="B767" s="99" t="str">
        <x:v>形容词</x:v>
      </x:c>
      <x:c r="C767" s="99" t="n">
        <x:v>12</x:v>
      </x:c>
      <x:c r="D767" s="99" t="str">
        <x:v>loud</x:v>
      </x:c>
      <x:c r="E767" s="99" t="str">
        <x:v>/laʊd/</x:v>
      </x:c>
      <x:c r="F767" s="99" t="str">
        <x:v>大声的；响亮的</x:v>
      </x:c>
      <x:c r="G767" s="99" t="str">
        <x:v>12. loud /laʊd/ 大声的；响亮的</x:v>
      </x:c>
    </x:row>
    <x:row r="768" ht="18" customHeight="1">
      <x:c r="A768" s="99" t="str">
        <x:v>L</x:v>
      </x:c>
      <x:c r="B768" s="99" t="str">
        <x:v>形容词</x:v>
      </x:c>
      <x:c r="C768" s="99" t="n">
        <x:v>13</x:v>
      </x:c>
      <x:c r="D768" s="99" t="str">
        <x:v>lovely</x:v>
      </x:c>
      <x:c r="E768" s="99" t="str">
        <x:v>/ˈlʌvli/</x:v>
      </x:c>
      <x:c r="F768" s="99" t="str">
        <x:v>令人愉快的；可爱的</x:v>
      </x:c>
      <x:c r="G768" s="99" t="str">
        <x:v>13. lovely /ˈlʌvli/ 令人愉快的；可爱的</x:v>
      </x:c>
    </x:row>
    <x:row r="769" ht="18" customHeight="1">
      <x:c r="A769" s="99" t="str">
        <x:v>L</x:v>
      </x:c>
      <x:c r="B769" s="99" t="str">
        <x:v>形容词</x:v>
      </x:c>
      <x:c r="C769" s="99" t="n">
        <x:v>14</x:v>
      </x:c>
      <x:c r="D769" s="99" t="str">
        <x:v>low</x:v>
      </x:c>
      <x:c r="E769" s="99" t="str">
        <x:v>/ləʊ/</x:v>
      </x:c>
      <x:c r="F769" s="99" t="str">
        <x:v>矮的；低的</x:v>
      </x:c>
      <x:c r="G769" s="99" t="str">
        <x:v>14. low /ləʊ/ 矮的；低的</x:v>
      </x:c>
    </x:row>
    <x:row r="770" ht="18" customHeight="1">
      <x:c r="A770" s="99" t="str">
        <x:v>L</x:v>
      </x:c>
      <x:c r="B770" s="99" t="str">
        <x:v>形容词</x:v>
      </x:c>
      <x:c r="C770" s="99" t="n">
        <x:v>15</x:v>
      </x:c>
      <x:c r="D770" s="99" t="str">
        <x:v>lucky</x:v>
      </x:c>
      <x:c r="E770" s="99" t="str">
        <x:v>/ˈlʌki/</x:v>
      </x:c>
      <x:c r="F770" s="99" t="str">
        <x:v>幸运的</x:v>
      </x:c>
      <x:c r="G770" s="99" t="str">
        <x:v>15. lucky /ˈlʌki/ 幸运的</x:v>
      </x:c>
    </x:row>
    <x:row r="771" ht="18" customHeight="1">
      <x:c r="A771" s="99" t="str">
        <x:v>L</x:v>
      </x:c>
      <x:c r="B771" s="99" t="str">
        <x:v>副词</x:v>
      </x:c>
      <x:c r="C771" s="99" t="n">
        <x:v>1</x:v>
      </x:c>
      <x:c r="D771" s="99" t="str">
        <x:v>last</x:v>
      </x:c>
      <x:c r="E771" s="99" t="str">
        <x:v>/lɑːst/</x:v>
      </x:c>
      <x:c r="F771" s="99" t="str">
        <x:v>最后；最终</x:v>
      </x:c>
      <x:c r="G771" s="99" t="str">
        <x:v>1. last /lɑːst/ 最后；最终</x:v>
      </x:c>
    </x:row>
    <x:row r="772" ht="18" customHeight="1">
      <x:c r="A772" s="99" t="str">
        <x:v>L</x:v>
      </x:c>
      <x:c r="B772" s="99" t="str">
        <x:v>副词</x:v>
      </x:c>
      <x:c r="C772" s="99" t="n">
        <x:v>2</x:v>
      </x:c>
      <x:c r="D772" s="99" t="str">
        <x:v>late</x:v>
      </x:c>
      <x:c r="E772" s="99" t="str">
        <x:v>/leɪt/</x:v>
      </x:c>
      <x:c r="F772" s="99" t="str">
        <x:v>迟；晚</x:v>
      </x:c>
      <x:c r="G772" s="99" t="str">
        <x:v>2. late /leɪt/ 迟；晚</x:v>
      </x:c>
    </x:row>
    <x:row r="773" ht="18" customHeight="1">
      <x:c r="A773" s="99" t="str">
        <x:v>L</x:v>
      </x:c>
      <x:c r="B773" s="99" t="str">
        <x:v>副词</x:v>
      </x:c>
      <x:c r="C773" s="99" t="n">
        <x:v>3</x:v>
      </x:c>
      <x:c r="D773" s="99" t="str">
        <x:v>later</x:v>
      </x:c>
      <x:c r="E773" s="99" t="str">
        <x:v>/ˈleɪtə(r)/</x:v>
      </x:c>
      <x:c r="F773" s="99" t="str">
        <x:v>后来；以后</x:v>
      </x:c>
      <x:c r="G773" s="99" t="str">
        <x:v>3. later /ˈleɪtə(r)/ 后来；以后</x:v>
      </x:c>
    </x:row>
    <x:row r="774" ht="18" customHeight="1">
      <x:c r="A774" s="99" t="str">
        <x:v>L</x:v>
      </x:c>
      <x:c r="B774" s="99" t="str">
        <x:v>副词</x:v>
      </x:c>
      <x:c r="C774" s="99" t="n">
        <x:v>4</x:v>
      </x:c>
      <x:c r="D774" s="99" t="str">
        <x:v>left</x:v>
      </x:c>
      <x:c r="E774" s="99" t="str">
        <x:v>/left/</x:v>
      </x:c>
      <x:c r="F774" s="99" t="str">
        <x:v>在左边；向左侧</x:v>
      </x:c>
      <x:c r="G774" s="99" t="str">
        <x:v>4. left /left/ 在左边；向左侧</x:v>
      </x:c>
    </x:row>
    <x:row r="775" ht="18" customHeight="1">
      <x:c r="A775" s="99" t="str">
        <x:v>L</x:v>
      </x:c>
      <x:c r="B775" s="99" t="str">
        <x:v>副词</x:v>
      </x:c>
      <x:c r="C775" s="99" t="n">
        <x:v>5</x:v>
      </x:c>
      <x:c r="D775" s="99" t="str">
        <x:v>light</x:v>
      </x:c>
      <x:c r="E775" s="99" t="str">
        <x:v>/laɪt/</x:v>
      </x:c>
      <x:c r="F775" s="99" t="str">
        <x:v>轻地；少量地（注：词表中未标，按中考高频补充）</x:v>
      </x:c>
      <x:c r="G775" s="99" t="str">
        <x:v>5. light /laɪt/ 轻地；少量地（注：词表中未标，按中考高频补充）</x:v>
      </x:c>
    </x:row>
    <x:row r="776" ht="18" customHeight="1">
      <x:c r="A776" s="99" t="str">
        <x:v>L</x:v>
      </x:c>
      <x:c r="B776" s="99" t="str">
        <x:v>副词</x:v>
      </x:c>
      <x:c r="C776" s="99" t="n">
        <x:v>6</x:v>
      </x:c>
      <x:c r="D776" s="99" t="str">
        <x:v>loud</x:v>
      </x:c>
      <x:c r="E776" s="99" t="str">
        <x:v>/laʊd/</x:v>
      </x:c>
      <x:c r="F776" s="99" t="str">
        <x:v>大声地；响亮地</x:v>
      </x:c>
      <x:c r="G776" s="99" t="str">
        <x:v>6. loud /laʊd/ 大声地；响亮地</x:v>
      </x:c>
    </x:row>
    <x:row r="777" ht="18" customHeight="1">
      <x:c r="A777" s="99" t="str">
        <x:v>L</x:v>
      </x:c>
      <x:c r="B777" s="99" t="str">
        <x:v>副词</x:v>
      </x:c>
      <x:c r="C777" s="99" t="n">
        <x:v>7</x:v>
      </x:c>
      <x:c r="D777" s="99" t="str">
        <x:v>low</x:v>
      </x:c>
      <x:c r="E777" s="99" t="str">
        <x:v>/ləʊ/</x:v>
      </x:c>
      <x:c r="F777" s="99" t="str">
        <x:v>低地；低声地（注：词表中未标，按中考高频补充）</x:v>
      </x:c>
      <x:c r="G777" s="99" t="str">
        <x:v>7. low /ləʊ/ 低地；低声地（注：词表中未标，按中考高频补充）</x:v>
      </x:c>
    </x:row>
    <x:row r="778" ht="18" customHeight="1">
      <x:c r="A778" s="99" t="str">
        <x:v>L</x:v>
      </x:c>
      <x:c r="B778" s="99" t="str">
        <x:v>代词</x:v>
      </x:c>
      <x:c r="C778" s="99" t="n">
        <x:v>1</x:v>
      </x:c>
      <x:c r="D778" s="99" t="str">
        <x:v>little</x:v>
      </x:c>
      <x:c r="E778" s="99" t="str">
        <x:v>/ˈlɪtl/</x:v>
      </x:c>
      <x:c r="F778" s="99" t="str">
        <x:v>少量；少许</x:v>
      </x:c>
      <x:c r="G778" s="99" t="str">
        <x:v>1. little /ˈlɪtl/ 少量；少许</x:v>
      </x:c>
    </x:row>
    <x:row r="779" ht="18" customHeight="1">
      <x:c r="A779" s="99" t="str">
        <x:v>L</x:v>
      </x:c>
      <x:c r="B779" s="99" t="str">
        <x:v>介词</x:v>
      </x:c>
      <x:c r="C779" s="99" t="n">
        <x:v>1</x:v>
      </x:c>
      <x:c r="D779" s="99" t="str">
        <x:v>like</x:v>
      </x:c>
      <x:c r="E779" s="99" t="str">
        <x:v>/laɪk/</x:v>
      </x:c>
      <x:c r="F779" s="99" t="str">
        <x:v>如同；像</x:v>
      </x:c>
      <x:c r="G779" s="99" t="str">
        <x:v>1. like /laɪk/ 如同；像</x:v>
      </x:c>
    </x:row>
    <x:row r="780" ht="18" customHeight="1">
      <x:c r="A780" s="99" t="str">
        <x:v>L</x:v>
      </x:c>
      <x:c r="B780" s="99" t="str">
        <x:v>数词</x:v>
      </x:c>
      <x:c r="C780" s="99" t="str"/>
      <x:c r="D780" s="99" t="str">
        <x:v>无纯数词。</x:v>
      </x:c>
      <x:c r="E780" s="99" t="str"/>
      <x:c r="F780" s="99" t="str"/>
      <x:c r="G780" s="99" t="str">
        <x:v>无纯数词。</x:v>
      </x:c>
    </x:row>
    <x:row r="781" ht="18" customHeight="1">
      <x:c r="A781" s="99" t="str">
        <x:v>L</x:v>
      </x:c>
      <x:c r="B781" s="99" t="str">
        <x:v>短语</x:v>
      </x:c>
      <x:c r="C781" s="99" t="n">
        <x:v>1</x:v>
      </x:c>
      <x:c r="D781" s="99" t="str">
        <x:v>a</x:v>
      </x:c>
      <x:c r="E781" s="99" t="str"/>
      <x:c r="F781" s="99" t="str">
        <x:v>little 少量；少许</x:v>
      </x:c>
      <x:c r="G781" s="99" t="str">
        <x:v>1. a little 少量；少许</x:v>
      </x:c>
    </x:row>
    <x:row r="782" ht="18" customHeight="1">
      <x:c r="A782" s="99" t="str">
        <x:v>L</x:v>
      </x:c>
      <x:c r="B782" s="99" t="str">
        <x:v>短语</x:v>
      </x:c>
      <x:c r="C782" s="99" t="n">
        <x:v>2</x:v>
      </x:c>
      <x:c r="D782" s="99" t="str">
        <x:v>at</x:v>
      </x:c>
      <x:c r="E782" s="99" t="str"/>
      <x:c r="F782" s="99" t="str">
        <x:v>last 最后；终于</x:v>
      </x:c>
      <x:c r="G782" s="99" t="str">
        <x:v>2. at last 最后；终于</x:v>
      </x:c>
    </x:row>
    <x:row r="783" ht="18" customHeight="1">
      <x:c r="A783" s="99" t="str">
        <x:v>L</x:v>
      </x:c>
      <x:c r="B783" s="99" t="str">
        <x:v>短语</x:v>
      </x:c>
      <x:c r="C783" s="99" t="n">
        <x:v>3</x:v>
      </x:c>
      <x:c r="D783" s="99" t="str">
        <x:v>a</x:v>
      </x:c>
      <x:c r="E783" s="99" t="str"/>
      <x:c r="F783" s="99" t="str">
        <x:v>lot of / lots of 大量；许多</x:v>
      </x:c>
      <x:c r="G783" s="99" t="str">
        <x:v>3. a lot of / lots of 大量；许多</x:v>
      </x:c>
    </x:row>
    <x:row r="784" ht="18" customHeight="1">
      <x:c r="A784" s="99" t="str">
        <x:v>L</x:v>
      </x:c>
      <x:c r="B784" s="99" t="str">
        <x:v>短语</x:v>
      </x:c>
      <x:c r="C784" s="99" t="n">
        <x:v>4</x:v>
      </x:c>
      <x:c r="D784" s="99" t="str">
        <x:v>have</x:v>
      </x:c>
      <x:c r="E784" s="99" t="str"/>
      <x:c r="F784" s="99" t="str">
        <x:v>lunch 吃午餐</x:v>
      </x:c>
      <x:c r="G784" s="99" t="str">
        <x:v>4. have lunch 吃午餐</x:v>
      </x:c>
    </x:row>
    <x:row r="785" ht="18" customHeight="1">
      <x:c r="A785" s="99" t="str">
        <x:v>L</x:v>
      </x:c>
      <x:c r="B785" s="99" t="str">
        <x:v>短语</x:v>
      </x:c>
      <x:c r="C785" s="99" t="n">
        <x:v>5</x:v>
      </x:c>
      <x:c r="D785" s="99" t="str">
        <x:v>let’s</x:v>
      </x:c>
      <x:c r="E785" s="99" t="str"/>
      <x:c r="F785" s="99" t="str">
        <x:v>let us 让我们</x:v>
      </x:c>
      <x:c r="G785" s="99" t="str">
        <x:v>5. let’s = let us 让我们</x:v>
      </x:c>
    </x:row>
    <x:row r="786" ht="18" customHeight="1">
      <x:c r="A786" s="99" t="str">
        <x:v>L</x:v>
      </x:c>
      <x:c r="B786" s="99" t="str">
        <x:v>短语</x:v>
      </x:c>
      <x:c r="C786" s="99" t="n">
        <x:v>6</x:v>
      </x:c>
      <x:c r="D786" s="99" t="str">
        <x:v>look</x:v>
      </x:c>
      <x:c r="E786" s="99" t="str"/>
      <x:c r="F786" s="99" t="str">
        <x:v>after 照顾；照看</x:v>
      </x:c>
      <x:c r="G786" s="99" t="str">
        <x:v>6. look after 照顾；照看</x:v>
      </x:c>
    </x:row>
    <x:row r="787" ht="18" customHeight="1">
      <x:c r="A787" s="99" t="str">
        <x:v>L</x:v>
      </x:c>
      <x:c r="B787" s="99" t="str">
        <x:v>短语</x:v>
      </x:c>
      <x:c r="C787" s="99" t="n">
        <x:v>7</x:v>
      </x:c>
      <x:c r="D787" s="99" t="str">
        <x:v>look</x:v>
      </x:c>
      <x:c r="E787" s="99" t="str"/>
      <x:c r="F787" s="99" t="str">
        <x:v>at 看</x:v>
      </x:c>
      <x:c r="G787" s="99" t="str">
        <x:v>7. look at 看</x:v>
      </x:c>
    </x:row>
    <x:row r="788" ht="18" customHeight="1">
      <x:c r="A788" s="99" t="str">
        <x:v>L</x:v>
      </x:c>
      <x:c r="B788" s="99" t="str">
        <x:v>短语</x:v>
      </x:c>
      <x:c r="C788" s="99" t="n">
        <x:v>8</x:v>
      </x:c>
      <x:c r="D788" s="99" t="str">
        <x:v>look</x:v>
      </x:c>
      <x:c r="E788" s="99" t="str"/>
      <x:c r="F788" s="99" t="str">
        <x:v>for 寻找</x:v>
      </x:c>
      <x:c r="G788" s="99" t="str">
        <x:v>8. look for 寻找</x:v>
      </x:c>
    </x:row>
    <x:row r="789" ht="18" customHeight="1">
      <x:c r="A789" s="99" t="str">
        <x:v>L</x:v>
      </x:c>
      <x:c r="B789" s="99" t="str">
        <x:v>短语</x:v>
      </x:c>
      <x:c r="C789" s="99" t="n">
        <x:v>9</x:v>
      </x:c>
      <x:c r="D789" s="99" t="str">
        <x:v>look</x:v>
      </x:c>
      <x:c r="E789" s="99" t="str"/>
      <x:c r="F789" s="99" t="str">
        <x:v>up 查看；查找</x:v>
      </x:c>
      <x:c r="G789" s="99" t="str">
        <x:v>9. look up 查看；查找</x:v>
      </x:c>
    </x:row>
    <x:row r="790" ht="18" customHeight="1">
      <x:c r="A790" s="99" t="str">
        <x:v>L</x:v>
      </x:c>
      <x:c r="B790" s="99" t="str">
        <x:v>短语</x:v>
      </x:c>
      <x:c r="C790" s="99" t="n">
        <x:v>10</x:v>
      </x:c>
      <x:c r="D790" s="99" t="str">
        <x:v>make</x:v>
      </x:c>
      <x:c r="E790" s="99" t="str"/>
      <x:c r="F790" s="99" t="str">
        <x:v>a list 列清单</x:v>
      </x:c>
      <x:c r="G790" s="99" t="str">
        <x:v>10. make a list 列清单</x:v>
      </x:c>
    </x:row>
    <x:row r="791" ht="18" customHeight="1">
      <x:c r="A791" s="99" t="str">
        <x:v>L</x:v>
      </x:c>
      <x:c r="B791" s="99" t="str">
        <x:v>短语</x:v>
      </x:c>
      <x:c r="C791" s="99" t="n">
        <x:v>11</x:v>
      </x:c>
      <x:c r="D791" s="99" t="str">
        <x:v>on</x:v>
      </x:c>
      <x:c r="E791" s="99" t="str"/>
      <x:c r="F791" s="99" t="str">
        <x:v>the left 在左边；在左侧</x:v>
      </x:c>
      <x:c r="G791" s="99" t="str">
        <x:v>11. on the left 在左边；在左侧</x:v>
      </x:c>
    </x:row>
    <x:row r="792" ht="18" customHeight="1">
      <x:c r="A792" s="99" t="str">
        <x:v>L</x:v>
      </x:c>
      <x:c r="B792" s="99" t="str">
        <x:v>短语</x:v>
      </x:c>
      <x:c r="C792" s="99" t="n">
        <x:v>12</x:v>
      </x:c>
      <x:c r="D792" s="99" t="str">
        <x:v>lift</x:v>
      </x:c>
      <x:c r="E792" s="99" t="str"/>
      <x:c r="F792" s="99" t="str">
        <x:v>up 抬起；提起</x:v>
      </x:c>
      <x:c r="G792" s="99" t="str">
        <x:v>12. lift up 抬起；提起</x:v>
      </x:c>
    </x:row>
    <x:row r="793" ht="18" customHeight="1">
      <x:c r="A793" s="99" t="str">
        <x:v>L</x:v>
      </x:c>
      <x:c r="B793" s="99" t="str">
        <x:v>短语</x:v>
      </x:c>
      <x:c r="C793" s="99" t="n">
        <x:v>13</x:v>
      </x:c>
      <x:c r="D793" s="99" t="str">
        <x:v>lost</x:v>
      </x:c>
      <x:c r="E793" s="99" t="str"/>
      <x:c r="F793" s="99" t="str">
        <x:v>and found box 失物招领箱</x:v>
      </x:c>
      <x:c r="G793" s="99" t="str">
        <x:v>13. lost and found box 失物招领箱</x:v>
      </x:c>
    </x:row>
    <x:row r="794" ht="18" customHeight="1">
      <x:c r="A794" s="99" t="str">
        <x:v>L</x:v>
      </x:c>
      <x:c r="B794" s="99" t="str">
        <x:v>短语</x:v>
      </x:c>
      <x:c r="C794" s="99" t="n">
        <x:v>14</x:v>
      </x:c>
      <x:c r="D794" s="99" t="str">
        <x:v>lost</x:v>
      </x:c>
      <x:c r="E794" s="99" t="str"/>
      <x:c r="F794" s="99" t="str">
        <x:v>and found office 失物招领处</x:v>
      </x:c>
      <x:c r="G794" s="99" t="str">
        <x:v>14. lost and found office 失物招领处</x:v>
      </x:c>
    </x:row>
    <x:row r="795" ht="18" customHeight="1">
      <x:c r="A795" s="99" t="str">
        <x:v>M</x:v>
      </x:c>
      <x:c r="B795" s="99" t="str">
        <x:v>名词</x:v>
      </x:c>
      <x:c r="C795" s="99" t="str"/>
      <x:c r="D795" s="99" t="str">
        <x:v>machine</x:v>
      </x:c>
      <x:c r="E795" s="99" t="str">
        <x:v>/məˈʃiːn/</x:v>
      </x:c>
      <x:c r="F795" s="99" t="str">
        <x:v>机器</x:v>
      </x:c>
      <x:c r="G795" s="99" t="str">
        <x:v>machine /məˈʃiːn/ 机器</x:v>
      </x:c>
    </x:row>
    <x:row r="796" ht="18" customHeight="1">
      <x:c r="A796" s="99" t="str">
        <x:v>M</x:v>
      </x:c>
      <x:c r="B796" s="99" t="str">
        <x:v>名词</x:v>
      </x:c>
      <x:c r="C796" s="99" t="str"/>
      <x:c r="D796" s="99" t="str">
        <x:v>mail</x:v>
      </x:c>
      <x:c r="E796" s="99" t="str">
        <x:v>/meɪl/</x:v>
      </x:c>
      <x:c r="F796" s="99" t="str">
        <x:v>邮件</x:v>
      </x:c>
      <x:c r="G796" s="99" t="str">
        <x:v>mail /meɪl/ 邮件</x:v>
      </x:c>
    </x:row>
    <x:row r="797" ht="18" customHeight="1">
      <x:c r="A797" s="99" t="str">
        <x:v>M</x:v>
      </x:c>
      <x:c r="B797" s="99" t="str">
        <x:v>名词</x:v>
      </x:c>
      <x:c r="C797" s="99" t="str"/>
      <x:c r="D797" s="99" t="str">
        <x:v>man</x:v>
      </x:c>
      <x:c r="E797" s="99" t="str">
        <x:v>/mæn/</x:v>
      </x:c>
      <x:c r="F797" s="99" t="str">
        <x:v>男人；人类</x:v>
      </x:c>
      <x:c r="G797" s="99" t="str">
        <x:v>man /mæn/ 男人；人类</x:v>
      </x:c>
    </x:row>
    <x:row r="798" ht="18" customHeight="1">
      <x:c r="A798" s="99" t="str">
        <x:v>M</x:v>
      </x:c>
      <x:c r="B798" s="99" t="str">
        <x:v>名词</x:v>
      </x:c>
      <x:c r="C798" s="99" t="str"/>
      <x:c r="D798" s="99" t="str">
        <x:v>March</x:v>
      </x:c>
      <x:c r="E798" s="99" t="str">
        <x:v>/mɑːtʃ/</x:v>
      </x:c>
      <x:c r="F798" s="99" t="str">
        <x:v>三月</x:v>
      </x:c>
      <x:c r="G798" s="99" t="str">
        <x:v>March /mɑːtʃ/ 三月</x:v>
      </x:c>
    </x:row>
    <x:row r="799" ht="18" customHeight="1">
      <x:c r="A799" s="99" t="str">
        <x:v>M</x:v>
      </x:c>
      <x:c r="B799" s="99" t="str">
        <x:v>名词</x:v>
      </x:c>
      <x:c r="C799" s="99" t="str"/>
      <x:c r="D799" s="99" t="str">
        <x:v>market</x:v>
      </x:c>
      <x:c r="E799" s="99" t="str">
        <x:v>/ˈmɑːkɪt/</x:v>
      </x:c>
      <x:c r="F799" s="99" t="str">
        <x:v>市场</x:v>
      </x:c>
      <x:c r="G799" s="99" t="str">
        <x:v>market /ˈmɑːkɪt/ 市场</x:v>
      </x:c>
    </x:row>
    <x:row r="800" ht="18" customHeight="1">
      <x:c r="A800" s="99" t="str">
        <x:v>M</x:v>
      </x:c>
      <x:c r="B800" s="99" t="str">
        <x:v>名词</x:v>
      </x:c>
      <x:c r="C800" s="99" t="str"/>
      <x:c r="D800" s="99" t="str">
        <x:v>May</x:v>
      </x:c>
      <x:c r="E800" s="99" t="str">
        <x:v>/meɪ/</x:v>
      </x:c>
      <x:c r="F800" s="99" t="str">
        <x:v>五月</x:v>
      </x:c>
      <x:c r="G800" s="99" t="str">
        <x:v>May /meɪ/ 五月</x:v>
      </x:c>
    </x:row>
    <x:row r="801" ht="18" customHeight="1">
      <x:c r="A801" s="99" t="str">
        <x:v>M</x:v>
      </x:c>
      <x:c r="B801" s="99" t="str">
        <x:v>名词</x:v>
      </x:c>
      <x:c r="C801" s="99" t="str"/>
      <x:c r="D801" s="99" t="str">
        <x:v>meat</x:v>
      </x:c>
      <x:c r="E801" s="99" t="str">
        <x:v>/miːt/</x:v>
      </x:c>
      <x:c r="F801" s="99" t="str">
        <x:v>肉</x:v>
      </x:c>
      <x:c r="G801" s="99" t="str">
        <x:v>meat /miːt/ 肉</x:v>
      </x:c>
    </x:row>
    <x:row r="802" ht="18" customHeight="1">
      <x:c r="A802" s="99" t="str">
        <x:v>M</x:v>
      </x:c>
      <x:c r="B802" s="99" t="str">
        <x:v>名词</x:v>
      </x:c>
      <x:c r="C802" s="99" t="str"/>
      <x:c r="D802" s="99" t="str">
        <x:v>member</x:v>
      </x:c>
      <x:c r="E802" s="99" t="str">
        <x:v>/ˈmembə/</x:v>
      </x:c>
      <x:c r="F802" s="99" t="str">
        <x:v>成员；会员</x:v>
      </x:c>
      <x:c r="G802" s="99" t="str">
        <x:v>member /ˈmembə/ 成员；会员</x:v>
      </x:c>
    </x:row>
    <x:row r="803" ht="18" customHeight="1">
      <x:c r="A803" s="99" t="str">
        <x:v>M</x:v>
      </x:c>
      <x:c r="B803" s="99" t="str">
        <x:v>名词</x:v>
      </x:c>
      <x:c r="C803" s="99" t="str"/>
      <x:c r="D803" s="99" t="str">
        <x:v>message</x:v>
      </x:c>
      <x:c r="E803" s="99" t="str">
        <x:v>/ˈmesɪdʒ/</x:v>
      </x:c>
      <x:c r="F803" s="99" t="str">
        <x:v>消息；信息</x:v>
      </x:c>
      <x:c r="G803" s="99" t="str">
        <x:v>message /ˈmesɪdʒ/ 消息；信息</x:v>
      </x:c>
    </x:row>
    <x:row r="804" ht="18" customHeight="1">
      <x:c r="A804" s="99" t="str">
        <x:v>M</x:v>
      </x:c>
      <x:c r="B804" s="99" t="str">
        <x:v>名词</x:v>
      </x:c>
      <x:c r="C804" s="99" t="str"/>
      <x:c r="D804" s="99" t="str">
        <x:v>middle</x:v>
      </x:c>
      <x:c r="E804" s="99" t="str">
        <x:v>/ˈmɪdl/</x:v>
      </x:c>
      <x:c r="F804" s="99" t="str">
        <x:v>中间；中央</x:v>
      </x:c>
      <x:c r="G804" s="99" t="str">
        <x:v>middle /ˈmɪdl/ 中间；中央</x:v>
      </x:c>
    </x:row>
    <x:row r="805" ht="18" customHeight="1">
      <x:c r="A805" s="99" t="str">
        <x:v>M</x:v>
      </x:c>
      <x:c r="B805" s="99" t="str">
        <x:v>名词</x:v>
      </x:c>
      <x:c r="C805" s="99" t="str"/>
      <x:c r="D805" s="99" t="str">
        <x:v>mile</x:v>
      </x:c>
      <x:c r="E805" s="99" t="str">
        <x:v>/maɪl/</x:v>
      </x:c>
      <x:c r="F805" s="99" t="str">
        <x:v>英里</x:v>
      </x:c>
      <x:c r="G805" s="99" t="str">
        <x:v>mile /maɪl/ 英里</x:v>
      </x:c>
    </x:row>
    <x:row r="806" ht="18" customHeight="1">
      <x:c r="A806" s="99" t="str">
        <x:v>M</x:v>
      </x:c>
      <x:c r="B806" s="99" t="str">
        <x:v>名词</x:v>
      </x:c>
      <x:c r="C806" s="99" t="str"/>
      <x:c r="D806" s="99" t="str">
        <x:v>mind</x:v>
      </x:c>
      <x:c r="E806" s="99" t="str">
        <x:v>/maɪnd/</x:v>
      </x:c>
      <x:c r="F806" s="99" t="str">
        <x:v>头脑；心智</x:v>
      </x:c>
      <x:c r="G806" s="99" t="str">
        <x:v>mind /maɪnd/ 头脑；心智</x:v>
      </x:c>
    </x:row>
    <x:row r="807" ht="18" customHeight="1">
      <x:c r="A807" s="99" t="str">
        <x:v>M</x:v>
      </x:c>
      <x:c r="B807" s="99" t="str">
        <x:v>名词</x:v>
      </x:c>
      <x:c r="C807" s="99" t="str"/>
      <x:c r="D807" s="99" t="str">
        <x:v>minute</x:v>
      </x:c>
      <x:c r="E807" s="99" t="str">
        <x:v>/ˈmɪnɪt/</x:v>
      </x:c>
      <x:c r="F807" s="99" t="str">
        <x:v>分钟</x:v>
      </x:c>
      <x:c r="G807" s="99" t="str">
        <x:v>minute /ˈmɪnɪt/ 分钟</x:v>
      </x:c>
    </x:row>
    <x:row r="808" ht="18" customHeight="1">
      <x:c r="A808" s="99" t="str">
        <x:v>M</x:v>
      </x:c>
      <x:c r="B808" s="99" t="str">
        <x:v>名词</x:v>
      </x:c>
      <x:c r="C808" s="99" t="str"/>
      <x:c r="D808" s="99" t="str">
        <x:v>Miss</x:v>
      </x:c>
      <x:c r="E808" s="99" t="str">
        <x:v>/mɪs/</x:v>
      </x:c>
      <x:c r="F808" s="99" t="str">
        <x:v>（对未婚女性的称呼）小姐；老师</x:v>
      </x:c>
      <x:c r="G808" s="99" t="str">
        <x:v>Miss /mɪs/ （对未婚女性的称呼）小姐；老师</x:v>
      </x:c>
    </x:row>
    <x:row r="809" ht="18" customHeight="1">
      <x:c r="A809" s="99" t="str">
        <x:v>M</x:v>
      </x:c>
      <x:c r="B809" s="99" t="str">
        <x:v>名词</x:v>
      </x:c>
      <x:c r="C809" s="99" t="str"/>
      <x:c r="D809" s="99" t="str">
        <x:v>moment</x:v>
      </x:c>
      <x:c r="E809" s="99" t="str">
        <x:v>/ˈməʊmənt/</x:v>
      </x:c>
      <x:c r="F809" s="99" t="str">
        <x:v>片刻；时刻；瞬间</x:v>
      </x:c>
      <x:c r="G809" s="99" t="str">
        <x:v>moment /ˈməʊmənt/ 片刻；时刻；瞬间</x:v>
      </x:c>
    </x:row>
    <x:row r="810" ht="18" customHeight="1">
      <x:c r="A810" s="99" t="str">
        <x:v>M</x:v>
      </x:c>
      <x:c r="B810" s="99" t="str">
        <x:v>名词</x:v>
      </x:c>
      <x:c r="C810" s="99" t="str"/>
      <x:c r="D810" s="99" t="str">
        <x:v>money</x:v>
      </x:c>
      <x:c r="E810" s="99" t="str">
        <x:v>/ˈmʌni/</x:v>
      </x:c>
      <x:c r="F810" s="99" t="str">
        <x:v>钱；金钱</x:v>
      </x:c>
      <x:c r="G810" s="99" t="str">
        <x:v>money /ˈmʌni/ 钱；金钱</x:v>
      </x:c>
    </x:row>
    <x:row r="811" ht="18" customHeight="1">
      <x:c r="A811" s="99" t="str">
        <x:v>M</x:v>
      </x:c>
      <x:c r="B811" s="99" t="str">
        <x:v>名词</x:v>
      </x:c>
      <x:c r="C811" s="99" t="str"/>
      <x:c r="D811" s="99" t="str">
        <x:v>monkey</x:v>
      </x:c>
      <x:c r="E811" s="99" t="str">
        <x:v>/ˈmʌŋki/</x:v>
      </x:c>
      <x:c r="F811" s="99" t="str">
        <x:v>猴子</x:v>
      </x:c>
      <x:c r="G811" s="99" t="str">
        <x:v>monkey /ˈmʌŋki/ 猴子</x:v>
      </x:c>
    </x:row>
    <x:row r="812" ht="18" customHeight="1">
      <x:c r="A812" s="99" t="str">
        <x:v>M</x:v>
      </x:c>
      <x:c r="B812" s="99" t="str">
        <x:v>名词</x:v>
      </x:c>
      <x:c r="C812" s="99" t="str"/>
      <x:c r="D812" s="99" t="str">
        <x:v>morning</x:v>
      </x:c>
      <x:c r="E812" s="99" t="str">
        <x:v>/ˈmɔːnɪŋ/</x:v>
      </x:c>
      <x:c r="F812" s="99" t="str">
        <x:v>早晨；上午</x:v>
      </x:c>
      <x:c r="G812" s="99" t="str">
        <x:v>morning /ˈmɔːnɪŋ/ 早晨；上午</x:v>
      </x:c>
    </x:row>
    <x:row r="813" ht="18" customHeight="1">
      <x:c r="A813" s="99" t="str">
        <x:v>M</x:v>
      </x:c>
      <x:c r="B813" s="99" t="str">
        <x:v>名词</x:v>
      </x:c>
      <x:c r="C813" s="99" t="str"/>
      <x:c r="D813" s="99" t="str">
        <x:v>mother</x:v>
      </x:c>
      <x:c r="E813" s="99" t="str">
        <x:v>/ˈmʌðə/</x:v>
      </x:c>
      <x:c r="F813" s="99" t="str">
        <x:v>母亲；妈妈</x:v>
      </x:c>
      <x:c r="G813" s="99" t="str">
        <x:v>mother /ˈmʌðə/ 母亲；妈妈</x:v>
      </x:c>
    </x:row>
    <x:row r="814" ht="18" customHeight="1">
      <x:c r="A814" s="99" t="str">
        <x:v>M</x:v>
      </x:c>
      <x:c r="B814" s="99" t="str">
        <x:v>名词</x:v>
      </x:c>
      <x:c r="C814" s="99" t="str"/>
      <x:c r="D814" s="99" t="str">
        <x:v>movie</x:v>
      </x:c>
      <x:c r="E814" s="99" t="str">
        <x:v>/ˈmuːvi/</x:v>
      </x:c>
      <x:c r="F814" s="99" t="str">
        <x:v>电影</x:v>
      </x:c>
      <x:c r="G814" s="99" t="str">
        <x:v>movie /ˈmuːvi/ 电影</x:v>
      </x:c>
    </x:row>
    <x:row r="815" ht="18" customHeight="1">
      <x:c r="A815" s="99" t="str">
        <x:v>M</x:v>
      </x:c>
      <x:c r="B815" s="99" t="str">
        <x:v>名词</x:v>
      </x:c>
      <x:c r="C815" s="99" t="str"/>
      <x:c r="D815" s="99" t="str">
        <x:v>Mr</x:v>
      </x:c>
      <x:c r="E815" s="99" t="str">
        <x:v>/ˈmɪstə(r)/</x:v>
      </x:c>
      <x:c r="F815" s="99" t="str">
        <x:v>先生</x:v>
      </x:c>
      <x:c r="G815" s="99" t="str">
        <x:v>Mr /ˈmɪstə(r)/ 先生</x:v>
      </x:c>
    </x:row>
    <x:row r="816" ht="18" customHeight="1">
      <x:c r="A816" s="99" t="str">
        <x:v>M</x:v>
      </x:c>
      <x:c r="B816" s="99" t="str">
        <x:v>名词</x:v>
      </x:c>
      <x:c r="C816" s="99" t="str"/>
      <x:c r="D816" s="99" t="str">
        <x:v>Mrs</x:v>
      </x:c>
      <x:c r="E816" s="99" t="str">
        <x:v>/ˈmɪsɪz/</x:v>
      </x:c>
      <x:c r="F816" s="99" t="str">
        <x:v>夫人；太太</x:v>
      </x:c>
      <x:c r="G816" s="99" t="str">
        <x:v>Mrs /ˈmɪsɪz/ 夫人；太太</x:v>
      </x:c>
    </x:row>
    <x:row r="817" ht="18" customHeight="1">
      <x:c r="A817" s="99" t="str">
        <x:v>M</x:v>
      </x:c>
      <x:c r="B817" s="99" t="str">
        <x:v>名词</x:v>
      </x:c>
      <x:c r="C817" s="99" t="str"/>
      <x:c r="D817" s="99" t="str">
        <x:v>Ms</x:v>
      </x:c>
      <x:c r="E817" s="99" t="str">
        <x:v>/mɪz/</x:v>
      </x:c>
      <x:c r="F817" s="99" t="str">
        <x:v>女士</x:v>
      </x:c>
      <x:c r="G817" s="99" t="str">
        <x:v>Ms /mɪz/ 女士</x:v>
      </x:c>
    </x:row>
    <x:row r="818" ht="18" customHeight="1">
      <x:c r="A818" s="99" t="str">
        <x:v>M</x:v>
      </x:c>
      <x:c r="B818" s="99" t="str">
        <x:v>名词</x:v>
      </x:c>
      <x:c r="C818" s="99" t="str"/>
      <x:c r="D818" s="99" t="str">
        <x:v>music</x:v>
      </x:c>
      <x:c r="E818" s="99" t="str">
        <x:v>/ˈmjuːzɪk/</x:v>
      </x:c>
      <x:c r="F818" s="99" t="str">
        <x:v>音乐</x:v>
      </x:c>
      <x:c r="G818" s="99" t="str">
        <x:v>music /ˈmjuːzɪk/ 音乐</x:v>
      </x:c>
    </x:row>
    <x:row r="819" ht="18" customHeight="1">
      <x:c r="A819" s="99" t="str">
        <x:v>M</x:v>
      </x:c>
      <x:c r="B819" s="99" t="str">
        <x:v>名词</x:v>
      </x:c>
      <x:c r="C819" s="99" t="str"/>
      <x:c r="D819" s="99" t="str">
        <x:v>museum</x:v>
      </x:c>
      <x:c r="E819" s="99" t="str">
        <x:v>/mjuˈziːəm/</x:v>
      </x:c>
      <x:c r="F819" s="99" t="str">
        <x:v>博物馆</x:v>
      </x:c>
      <x:c r="G819" s="99" t="str">
        <x:v>museum /mjuˈziːəm/ 博物馆</x:v>
      </x:c>
    </x:row>
    <x:row r="820" ht="18" customHeight="1">
      <x:c r="A820" s="99" t="str">
        <x:v>M</x:v>
      </x:c>
      <x:c r="B820" s="99" t="str">
        <x:v>动词</x:v>
      </x:c>
      <x:c r="C820" s="99" t="str"/>
      <x:c r="D820" s="99" t="str">
        <x:v>make</x:v>
      </x:c>
      <x:c r="E820" s="99" t="str">
        <x:v>/meɪk/</x:v>
      </x:c>
      <x:c r="F820" s="99" t="str">
        <x:v>做；制作；使；让</x:v>
      </x:c>
      <x:c r="G820" s="99" t="str">
        <x:v>make /meɪk/ 做；制作；使；让</x:v>
      </x:c>
    </x:row>
    <x:row r="821" ht="18" customHeight="1">
      <x:c r="A821" s="99" t="str">
        <x:v>M</x:v>
      </x:c>
      <x:c r="B821" s="99" t="str">
        <x:v>动词</x:v>
      </x:c>
      <x:c r="C821" s="99" t="str"/>
      <x:c r="D821" s="99" t="str">
        <x:v>mark</x:v>
      </x:c>
      <x:c r="E821" s="99" t="str">
        <x:v>/mɑːk/</x:v>
      </x:c>
      <x:c r="F821" s="99" t="str">
        <x:v>做记号；打分</x:v>
      </x:c>
      <x:c r="G821" s="99" t="str">
        <x:v>mark /mɑːk/ 做记号；打分</x:v>
      </x:c>
    </x:row>
    <x:row r="822" ht="18" customHeight="1">
      <x:c r="A822" s="99" t="str">
        <x:v>M</x:v>
      </x:c>
      <x:c r="B822" s="99" t="str">
        <x:v>动词</x:v>
      </x:c>
      <x:c r="C822" s="99" t="str"/>
      <x:c r="D822" s="99" t="str">
        <x:v>match</x:v>
      </x:c>
      <x:c r="E822" s="99" t="str">
        <x:v>/mætʃ/</x:v>
      </x:c>
      <x:c r="F822" s="99" t="str">
        <x:v>使相配；使相称；匹配</x:v>
      </x:c>
      <x:c r="G822" s="99" t="str">
        <x:v>match /mætʃ/ 使相配；使相称；匹配</x:v>
      </x:c>
    </x:row>
    <x:row r="823" ht="18" customHeight="1">
      <x:c r="A823" s="99" t="str">
        <x:v>M</x:v>
      </x:c>
      <x:c r="B823" s="99" t="str">
        <x:v>动词</x:v>
      </x:c>
      <x:c r="C823" s="99" t="str"/>
      <x:c r="D823" s="99" t="str">
        <x:v>matter</x:v>
      </x:c>
      <x:c r="E823" s="99" t="str">
        <x:v>/ˈmætə/</x:v>
      </x:c>
      <x:c r="F823" s="99" t="str">
        <x:v>要紧；有重大关系</x:v>
      </x:c>
      <x:c r="G823" s="99" t="str">
        <x:v>matter /ˈmætə/ 要紧；有重大关系</x:v>
      </x:c>
    </x:row>
    <x:row r="824" ht="18" customHeight="1">
      <x:c r="A824" s="99" t="str">
        <x:v>M</x:v>
      </x:c>
      <x:c r="B824" s="99" t="str">
        <x:v>动词</x:v>
      </x:c>
      <x:c r="C824" s="99" t="str"/>
      <x:c r="D824" s="99" t="str">
        <x:v>mean</x:v>
      </x:c>
      <x:c r="E824" s="99" t="str">
        <x:v>/miːn/</x:v>
      </x:c>
      <x:c r="F824" s="99" t="str">
        <x:v>意思是；意味着；打算</x:v>
      </x:c>
      <x:c r="G824" s="99" t="str">
        <x:v>mean /miːn/ 意思是；意味着；打算</x:v>
      </x:c>
    </x:row>
    <x:row r="825" ht="18" customHeight="1">
      <x:c r="A825" s="99" t="str">
        <x:v>M</x:v>
      </x:c>
      <x:c r="B825" s="99" t="str">
        <x:v>动词</x:v>
      </x:c>
      <x:c r="C825" s="99" t="str"/>
      <x:c r="D825" s="99" t="str">
        <x:v>meet</x:v>
      </x:c>
      <x:c r="E825" s="99" t="str">
        <x:v>/miːt/</x:v>
      </x:c>
      <x:c r="F825" s="99" t="str">
        <x:v>遇见；相逢</x:v>
      </x:c>
      <x:c r="G825" s="99" t="str">
        <x:v>meet /miːt/ 遇见；相逢</x:v>
      </x:c>
    </x:row>
    <x:row r="826" ht="18" customHeight="1">
      <x:c r="A826" s="99" t="str">
        <x:v>M</x:v>
      </x:c>
      <x:c r="B826" s="99" t="str">
        <x:v>动词</x:v>
      </x:c>
      <x:c r="C826" s="99" t="str"/>
      <x:c r="D826" s="99" t="str">
        <x:v>mix</x:v>
      </x:c>
      <x:c r="E826" s="99" t="str">
        <x:v>/mɪks/</x:v>
      </x:c>
      <x:c r="F826" s="99" t="str">
        <x:v>混合；掺和</x:v>
      </x:c>
      <x:c r="G826" s="99" t="str">
        <x:v>mix /mɪks/ 混合；掺和</x:v>
      </x:c>
    </x:row>
    <x:row r="827" ht="18" customHeight="1">
      <x:c r="A827" s="99" t="str">
        <x:v>M</x:v>
      </x:c>
      <x:c r="B827" s="99" t="str">
        <x:v>动词</x:v>
      </x:c>
      <x:c r="C827" s="99" t="str"/>
      <x:c r="D827" s="99" t="str">
        <x:v>move</x:v>
      </x:c>
      <x:c r="E827" s="99" t="str">
        <x:v>/muːv/</x:v>
      </x:c>
      <x:c r="F827" s="99" t="str">
        <x:v>移动；搬动</x:v>
      </x:c>
      <x:c r="G827" s="99" t="str">
        <x:v>move /muːv/ 移动；搬动</x:v>
      </x:c>
    </x:row>
    <x:row r="828" ht="18" customHeight="1">
      <x:c r="A828" s="99" t="str">
        <x:v>M</x:v>
      </x:c>
      <x:c r="B828" s="99" t="str">
        <x:v>动词</x:v>
      </x:c>
      <x:c r="C828" s="99" t="str"/>
      <x:c r="D828" s="99" t="str">
        <x:v>multiply</x:v>
      </x:c>
      <x:c r="E828" s="99" t="str">
        <x:v>/ˈmʌltɪplaɪ/</x:v>
      </x:c>
      <x:c r="F828" s="99" t="str">
        <x:v>乘</x:v>
      </x:c>
      <x:c r="G828" s="99" t="str">
        <x:v>multiply /ˈmʌltɪplaɪ/ 乘</x:v>
      </x:c>
    </x:row>
    <x:row r="829" ht="18" customHeight="1">
      <x:c r="A829" s="99" t="str">
        <x:v>M</x:v>
      </x:c>
      <x:c r="B829" s="99" t="str">
        <x:v>动词</x:v>
      </x:c>
      <x:c r="C829" s="99" t="str"/>
      <x:c r="D829" s="99" t="str">
        <x:v>make</x:v>
      </x:c>
      <x:c r="E829" s="99" t="str"/>
      <x:c r="F829" s="99" t="str">
        <x:v>up 编写；创作</x:v>
      </x:c>
      <x:c r="G829" s="99" t="str">
        <x:v>make up 编写；创作</x:v>
      </x:c>
    </x:row>
    <x:row r="830" ht="18" customHeight="1">
      <x:c r="A830" s="99" t="str">
        <x:v>M</x:v>
      </x:c>
      <x:c r="B830" s="99" t="str">
        <x:v>动词</x:v>
      </x:c>
      <x:c r="C830" s="99" t="str"/>
      <x:c r="D830" s="99" t="str">
        <x:v>make</x:v>
      </x:c>
      <x:c r="E830" s="99" t="str"/>
      <x:c r="F830" s="99" t="str">
        <x:v>sure 确保；确认</x:v>
      </x:c>
      <x:c r="G830" s="99" t="str">
        <x:v>make sure 确保；确认</x:v>
      </x:c>
    </x:row>
    <x:row r="831" ht="18" customHeight="1">
      <x:c r="A831" s="99" t="str">
        <x:v>M</x:v>
      </x:c>
      <x:c r="B831" s="99" t="str">
        <x:v>动词</x:v>
      </x:c>
      <x:c r="C831" s="99" t="str"/>
      <x:c r="D831" s="99" t="str">
        <x:v>make</x:v>
      </x:c>
      <x:c r="E831" s="99" t="str"/>
      <x:c r="F831" s="99" t="str">
        <x:v>friends 交朋友</x:v>
      </x:c>
      <x:c r="G831" s="99" t="str">
        <x:v>make friends 交朋友</x:v>
      </x:c>
    </x:row>
    <x:row r="832" ht="18" customHeight="1">
      <x:c r="A832" s="99" t="str">
        <x:v>M</x:v>
      </x:c>
      <x:c r="B832" s="99" t="str">
        <x:v>动词</x:v>
      </x:c>
      <x:c r="C832" s="99" t="str"/>
      <x:c r="D832" s="99" t="str">
        <x:v>May</x:v>
      </x:c>
      <x:c r="E832" s="99" t="str"/>
      <x:c r="F832" s="99" t="str">
        <x:v>Day 五一劳动节</x:v>
      </x:c>
      <x:c r="G832" s="99" t="str">
        <x:v>May Day 五一劳动节</x:v>
      </x:c>
    </x:row>
    <x:row r="833" ht="18" customHeight="1">
      <x:c r="A833" s="99" t="str">
        <x:v>M</x:v>
      </x:c>
      <x:c r="B833" s="99" t="str">
        <x:v>动词</x:v>
      </x:c>
      <x:c r="C833" s="99" t="str"/>
      <x:c r="D833" s="99" t="str">
        <x:v>Mother's</x:v>
      </x:c>
      <x:c r="E833" s="99" t="str"/>
      <x:c r="F833" s="99" t="str">
        <x:v>Day 母亲节</x:v>
      </x:c>
      <x:c r="G833" s="99" t="str">
        <x:v>Mother's Day 母亲节</x:v>
      </x:c>
    </x:row>
    <x:row r="834" ht="18" customHeight="1">
      <x:c r="A834" s="99" t="str">
        <x:v>M</x:v>
      </x:c>
      <x:c r="B834" s="99" t="str">
        <x:v>形容词</x:v>
      </x:c>
      <x:c r="C834" s="99" t="str"/>
      <x:c r="D834" s="99" t="str">
        <x:v>main</x:v>
      </x:c>
      <x:c r="E834" s="99" t="str">
        <x:v>/meɪn/</x:v>
      </x:c>
      <x:c r="F834" s="99" t="str">
        <x:v>主要的；最重要的</x:v>
      </x:c>
      <x:c r="G834" s="99" t="str">
        <x:v>main /meɪn/ 主要的；最重要的</x:v>
      </x:c>
    </x:row>
    <x:row r="835" ht="18" customHeight="1">
      <x:c r="A835" s="99" t="str">
        <x:v>M</x:v>
      </x:c>
      <x:c r="B835" s="99" t="str">
        <x:v>形容词</x:v>
      </x:c>
      <x:c r="C835" s="99" t="str"/>
      <x:c r="D835" s="99" t="str">
        <x:v>many</x:v>
      </x:c>
      <x:c r="E835" s="99" t="str">
        <x:v>/ˈmeni/</x:v>
      </x:c>
      <x:c r="F835" s="99" t="str">
        <x:v>许多的；多的</x:v>
      </x:c>
      <x:c r="G835" s="99" t="str">
        <x:v>many /ˈmeni/ 许多的；多的</x:v>
      </x:c>
    </x:row>
    <x:row r="836" ht="18" customHeight="1">
      <x:c r="A836" s="99" t="str">
        <x:v>M</x:v>
      </x:c>
      <x:c r="B836" s="99" t="str">
        <x:v>形容词</x:v>
      </x:c>
      <x:c r="C836" s="99" t="str"/>
      <x:c r="D836" s="99" t="str">
        <x:v>middle</x:v>
      </x:c>
      <x:c r="E836" s="99" t="str">
        <x:v>/ˈmɪdl/</x:v>
      </x:c>
      <x:c r="F836" s="99" t="str">
        <x:v>中间的；中央的</x:v>
      </x:c>
      <x:c r="G836" s="99" t="str">
        <x:v>middle /ˈmɪdl/ 中间的；中央的</x:v>
      </x:c>
    </x:row>
    <x:row r="837" ht="18" customHeight="1">
      <x:c r="A837" s="99" t="str">
        <x:v>M</x:v>
      </x:c>
      <x:c r="B837" s="99" t="str">
        <x:v>形容词</x:v>
      </x:c>
      <x:c r="C837" s="99" t="str"/>
      <x:c r="D837" s="99" t="str">
        <x:v>modern</x:v>
      </x:c>
      <x:c r="E837" s="99" t="str">
        <x:v>/ˈmɒdn/</x:v>
      </x:c>
      <x:c r="F837" s="99" t="str">
        <x:v>现代的</x:v>
      </x:c>
      <x:c r="G837" s="99" t="str">
        <x:v>modern /ˈmɒdn/ 现代的</x:v>
      </x:c>
    </x:row>
    <x:row r="838" ht="18" customHeight="1">
      <x:c r="A838" s="99" t="str">
        <x:v>M</x:v>
      </x:c>
      <x:c r="B838" s="99" t="str">
        <x:v>形容词</x:v>
      </x:c>
      <x:c r="C838" s="99" t="str"/>
      <x:c r="D838" s="99" t="str">
        <x:v>more</x:v>
      </x:c>
      <x:c r="E838" s="99" t="str">
        <x:v>/mɔː(r)/</x:v>
      </x:c>
      <x:c r="F838" s="99" t="str">
        <x:v>更多的</x:v>
      </x:c>
      <x:c r="G838" s="99" t="str">
        <x:v>more /mɔː(r)/ 更多的</x:v>
      </x:c>
    </x:row>
    <x:row r="839" ht="18" customHeight="1">
      <x:c r="A839" s="99" t="str">
        <x:v>M</x:v>
      </x:c>
      <x:c r="B839" s="99" t="str">
        <x:v>形容词</x:v>
      </x:c>
      <x:c r="C839" s="99" t="str"/>
      <x:c r="D839" s="99" t="str">
        <x:v>most</x:v>
      </x:c>
      <x:c r="E839" s="99" t="str">
        <x:v>/məʊst/</x:v>
      </x:c>
      <x:c r="F839" s="99" t="str">
        <x:v>最多的；大部分的</x:v>
      </x:c>
      <x:c r="G839" s="99" t="str">
        <x:v>most /məʊst/ 最多的；大部分的</x:v>
      </x:c>
    </x:row>
    <x:row r="840" ht="18" customHeight="1">
      <x:c r="A840" s="99" t="str">
        <x:v>M</x:v>
      </x:c>
      <x:c r="B840" s="99" t="str">
        <x:v>形容词</x:v>
      </x:c>
      <x:c r="C840" s="99" t="str"/>
      <x:c r="D840" s="99" t="str">
        <x:v>much</x:v>
      </x:c>
      <x:c r="E840" s="99" t="str">
        <x:v>/mʌtʃ/</x:v>
      </x:c>
      <x:c r="F840" s="99" t="str">
        <x:v>许多的；大量的</x:v>
      </x:c>
      <x:c r="G840" s="99" t="str">
        <x:v>much /mʌtʃ/ 许多的；大量的</x:v>
      </x:c>
    </x:row>
    <x:row r="841" ht="18" customHeight="1">
      <x:c r="A841" s="99" t="str">
        <x:v>M</x:v>
      </x:c>
      <x:c r="B841" s="99" t="str">
        <x:v>形容词</x:v>
      </x:c>
      <x:c r="C841" s="99" t="str"/>
      <x:c r="D841" s="99" t="str">
        <x:v>magic</x:v>
      </x:c>
      <x:c r="E841" s="99" t="str">
        <x:v>/ˈmædʒɪk/</x:v>
      </x:c>
      <x:c r="F841" s="99" t="str">
        <x:v>有魔力的</x:v>
      </x:c>
      <x:c r="G841" s="99" t="str">
        <x:v>magic /ˈmædʒɪk/ 有魔力的</x:v>
      </x:c>
    </x:row>
    <x:row r="842" ht="18" customHeight="1">
      <x:c r="A842" s="99" t="str">
        <x:v>M</x:v>
      </x:c>
      <x:c r="B842" s="99" t="str">
        <x:v>形容词</x:v>
      </x:c>
      <x:c r="C842" s="99" t="str"/>
      <x:c r="D842" s="99" t="str">
        <x:v>medical</x:v>
      </x:c>
      <x:c r="E842" s="99" t="str">
        <x:v>/ˈmedɪkl/</x:v>
      </x:c>
      <x:c r="F842" s="99" t="str">
        <x:v>医学的；医疗的</x:v>
      </x:c>
      <x:c r="G842" s="99" t="str">
        <x:v>medical /ˈmedɪkl/ 医学的；医疗的</x:v>
      </x:c>
    </x:row>
    <x:row r="843" ht="18" customHeight="1">
      <x:c r="A843" s="99" t="str">
        <x:v>M</x:v>
      </x:c>
      <x:c r="B843" s="99" t="str">
        <x:v>形容词</x:v>
      </x:c>
      <x:c r="C843" s="99" t="str"/>
      <x:c r="D843" s="99" t="str">
        <x:v>midnight</x:v>
      </x:c>
      <x:c r="E843" s="99" t="str">
        <x:v>/ˈmɪdnaɪt/</x:v>
      </x:c>
      <x:c r="F843" s="99" t="str">
        <x:v>午夜的</x:v>
      </x:c>
      <x:c r="G843" s="99" t="str">
        <x:v>midnight /ˈmɪdnaɪt/ 午夜的</x:v>
      </x:c>
    </x:row>
    <x:row r="844" ht="18" customHeight="1">
      <x:c r="A844" s="99" t="str">
        <x:v>M</x:v>
      </x:c>
      <x:c r="B844" s="99" t="str">
        <x:v>形容词</x:v>
      </x:c>
      <x:c r="C844" s="99" t="str"/>
      <x:c r="D844" s="99" t="str">
        <x:v>mistaken</x:v>
      </x:c>
      <x:c r="E844" s="99" t="str">
        <x:v>/mɪˈsteɪkən/</x:v>
      </x:c>
      <x:c r="F844" s="99" t="str">
        <x:v>错误的</x:v>
      </x:c>
      <x:c r="G844" s="99" t="str">
        <x:v>mistaken /mɪˈsteɪkən/ 错误的</x:v>
      </x:c>
    </x:row>
    <x:row r="845" ht="18" customHeight="1">
      <x:c r="A845" s="99" t="str">
        <x:v>M</x:v>
      </x:c>
      <x:c r="B845" s="99" t="str">
        <x:v>形容词</x:v>
      </x:c>
      <x:c r="C845" s="99" t="str"/>
      <x:c r="D845" s="99" t="str">
        <x:v>moving</x:v>
      </x:c>
      <x:c r="E845" s="99" t="str">
        <x:v>/ˈmuːvɪŋ/</x:v>
      </x:c>
      <x:c r="F845" s="99" t="str">
        <x:v>感人的</x:v>
      </x:c>
      <x:c r="G845" s="99" t="str">
        <x:v>moving /ˈmuːvɪŋ/ 感人的</x:v>
      </x:c>
    </x:row>
    <x:row r="846" ht="18" customHeight="1">
      <x:c r="A846" s="99" t="str">
        <x:v>M</x:v>
      </x:c>
      <x:c r="B846" s="99" t="str">
        <x:v>形容词</x:v>
      </x:c>
      <x:c r="C846" s="99" t="str"/>
      <x:c r="D846" s="99" t="str">
        <x:v>myself</x:v>
      </x:c>
      <x:c r="E846" s="99" t="str">
        <x:v>/maɪˈself/</x:v>
      </x:c>
      <x:c r="F846" s="99" t="str">
        <x:v>我自己的</x:v>
      </x:c>
      <x:c r="G846" s="99" t="str">
        <x:v>myself /maɪˈself/ 我自己的</x:v>
      </x:c>
    </x:row>
    <x:row r="847" ht="18" customHeight="1">
      <x:c r="A847" s="99" t="str">
        <x:v>M</x:v>
      </x:c>
      <x:c r="B847" s="99" t="str">
        <x:v>副词</x:v>
      </x:c>
      <x:c r="C847" s="99" t="str"/>
      <x:c r="D847" s="99" t="str">
        <x:v>maybe</x:v>
      </x:c>
      <x:c r="E847" s="99" t="str">
        <x:v>/ˈmeɪbi/</x:v>
      </x:c>
      <x:c r="F847" s="99" t="str">
        <x:v>也许；可能</x:v>
      </x:c>
      <x:c r="G847" s="99" t="str">
        <x:v>maybe /ˈmeɪbi/ 也许；可能</x:v>
      </x:c>
    </x:row>
    <x:row r="848" ht="18" customHeight="1">
      <x:c r="A848" s="99" t="str">
        <x:v>M</x:v>
      </x:c>
      <x:c r="B848" s="99" t="str">
        <x:v>副词</x:v>
      </x:c>
      <x:c r="C848" s="99" t="str"/>
      <x:c r="D848" s="99" t="str">
        <x:v>more</x:v>
      </x:c>
      <x:c r="E848" s="99" t="str">
        <x:v>/mɔː(r)/</x:v>
      </x:c>
      <x:c r="F848" s="99" t="str">
        <x:v>更；更多</x:v>
      </x:c>
      <x:c r="G848" s="99" t="str">
        <x:v>more /mɔː(r)/ 更；更多</x:v>
      </x:c>
    </x:row>
    <x:row r="849" ht="18" customHeight="1">
      <x:c r="A849" s="99" t="str">
        <x:v>M</x:v>
      </x:c>
      <x:c r="B849" s="99" t="str">
        <x:v>副词</x:v>
      </x:c>
      <x:c r="C849" s="99" t="str"/>
      <x:c r="D849" s="99" t="str">
        <x:v>most</x:v>
      </x:c>
      <x:c r="E849" s="99" t="str">
        <x:v>/məʊst/</x:v>
      </x:c>
      <x:c r="F849" s="99" t="str">
        <x:v>最；极其</x:v>
      </x:c>
      <x:c r="G849" s="99" t="str">
        <x:v>most /məʊst/ 最；极其</x:v>
      </x:c>
    </x:row>
    <x:row r="850" ht="18" customHeight="1">
      <x:c r="A850" s="99" t="str">
        <x:v>M</x:v>
      </x:c>
      <x:c r="B850" s="99" t="str">
        <x:v>副词</x:v>
      </x:c>
      <x:c r="C850" s="99" t="str"/>
      <x:c r="D850" s="99" t="str">
        <x:v>much</x:v>
      </x:c>
      <x:c r="E850" s="99" t="str">
        <x:v>/mʌtʃ/</x:v>
      </x:c>
      <x:c r="F850" s="99" t="str">
        <x:v>非常；很</x:v>
      </x:c>
      <x:c r="G850" s="99" t="str">
        <x:v>much /mʌtʃ/ 非常；很</x:v>
      </x:c>
    </x:row>
    <x:row r="851" ht="18" customHeight="1">
      <x:c r="A851" s="99" t="str">
        <x:v>M</x:v>
      </x:c>
      <x:c r="B851" s="99" t="str">
        <x:v>副词</x:v>
      </x:c>
      <x:c r="C851" s="99" t="str"/>
      <x:c r="D851" s="99" t="str">
        <x:v>too</x:v>
      </x:c>
      <x:c r="E851" s="99" t="str"/>
      <x:c r="F851" s="99" t="str">
        <x:v>much 太多</x:v>
      </x:c>
      <x:c r="G851" s="99" t="str">
        <x:v>too much 太多</x:v>
      </x:c>
    </x:row>
    <x:row r="852" ht="18" customHeight="1">
      <x:c r="A852" s="99" t="str">
        <x:v>M</x:v>
      </x:c>
      <x:c r="B852" s="99" t="str">
        <x:v>副词</x:v>
      </x:c>
      <x:c r="C852" s="99" t="str"/>
      <x:c r="D852" s="99" t="str">
        <x:v>any</x:v>
      </x:c>
      <x:c r="E852" s="99" t="str"/>
      <x:c r="F852" s="99" t="str">
        <x:v>more 再；还；仍</x:v>
      </x:c>
      <x:c r="G852" s="99" t="str">
        <x:v>any more 再；还；仍</x:v>
      </x:c>
    </x:row>
    <x:row r="853" ht="18" customHeight="1">
      <x:c r="A853" s="99" t="str">
        <x:v>M</x:v>
      </x:c>
      <x:c r="B853" s="99" t="str">
        <x:v>副词</x:v>
      </x:c>
      <x:c r="C853" s="99" t="str"/>
      <x:c r="D853" s="99" t="str">
        <x:v>no</x:v>
      </x:c>
      <x:c r="E853" s="99" t="str"/>
      <x:c r="F853" s="99" t="str">
        <x:v>more 不再</x:v>
      </x:c>
      <x:c r="G853" s="99" t="str">
        <x:v>no more 不再</x:v>
      </x:c>
    </x:row>
    <x:row r="854" ht="18" customHeight="1">
      <x:c r="A854" s="99" t="str">
        <x:v>M</x:v>
      </x:c>
      <x:c r="B854" s="99" t="str">
        <x:v>副词</x:v>
      </x:c>
      <x:c r="C854" s="99" t="str"/>
      <x:c r="D854" s="99" t="str">
        <x:v>at</x:v>
      </x:c>
      <x:c r="E854" s="99" t="str"/>
      <x:c r="F854" s="99" t="str">
        <x:v>the moment 此刻；目前</x:v>
      </x:c>
      <x:c r="G854" s="99" t="str">
        <x:v>at the moment 此刻；目前</x:v>
      </x:c>
    </x:row>
    <x:row r="855" ht="18" customHeight="1">
      <x:c r="A855" s="99" t="str">
        <x:v>M</x:v>
      </x:c>
      <x:c r="B855" s="99" t="str">
        <x:v>副词</x:v>
      </x:c>
      <x:c r="C855" s="99" t="str"/>
      <x:c r="D855" s="99" t="str">
        <x:v>good</x:v>
      </x:c>
      <x:c r="E855" s="99" t="str"/>
      <x:c r="F855" s="99" t="str">
        <x:v>morning 早上好</x:v>
      </x:c>
      <x:c r="G855" s="99" t="str">
        <x:v>good morning 早上好</x:v>
      </x:c>
    </x:row>
    <x:row r="856" ht="18" customHeight="1">
      <x:c r="A856" s="99" t="str">
        <x:v>M</x:v>
      </x:c>
      <x:c r="B856" s="99" t="str">
        <x:v>副词</x:v>
      </x:c>
      <x:c r="C856" s="99" t="str"/>
      <x:c r="D856" s="99" t="str">
        <x:v>once</x:v>
      </x:c>
      <x:c r="E856" s="99" t="str"/>
      <x:c r="F856" s="99" t="str">
        <x:v>more 再一次</x:v>
      </x:c>
      <x:c r="G856" s="99" t="str">
        <x:v>once more 再一次</x:v>
      </x:c>
    </x:row>
    <x:row r="857" ht="18" customHeight="1">
      <x:c r="A857" s="99" t="str">
        <x:v>M</x:v>
      </x:c>
      <x:c r="B857" s="99" t="str">
        <x:v>代词</x:v>
      </x:c>
      <x:c r="C857" s="99" t="str"/>
      <x:c r="D857" s="99" t="str">
        <x:v>myself</x:v>
      </x:c>
      <x:c r="E857" s="99" t="str">
        <x:v>/maɪˈself/</x:v>
      </x:c>
      <x:c r="F857" s="99" t="str">
        <x:v>我自己</x:v>
      </x:c>
      <x:c r="G857" s="99" t="str">
        <x:v>myself /maɪˈself/ 我自己</x:v>
      </x:c>
    </x:row>
    <x:row r="858" ht="18" customHeight="1">
      <x:c r="A858" s="99" t="str">
        <x:v>M</x:v>
      </x:c>
      <x:c r="B858" s="99" t="str">
        <x:v>介词</x:v>
      </x:c>
      <x:c r="C858" s="99" t="str"/>
      <x:c r="D858" s="99" t="str">
        <x:v>minus</x:v>
      </x:c>
      <x:c r="E858" s="99" t="str">
        <x:v>/ˈmaɪnəs/</x:v>
      </x:c>
      <x:c r="F858" s="99" t="str">
        <x:v>减；减去</x:v>
      </x:c>
      <x:c r="G858" s="99" t="str">
        <x:v>minus /ˈmaɪnəs/ 减；减去</x:v>
      </x:c>
    </x:row>
    <x:row r="859" ht="18" customHeight="1">
      <x:c r="A859" s="99" t="str">
        <x:v>M</x:v>
      </x:c>
      <x:c r="B859" s="99" t="str">
        <x:v>数词</x:v>
      </x:c>
      <x:c r="C859" s="99" t="n">
        <x:v>1</x:v>
      </x:c>
      <x:c r="D859" s="99" t="str">
        <x:v>million</x:v>
      </x:c>
      <x:c r="E859" s="99" t="str">
        <x:v>/ˈmɪljən/</x:v>
      </x:c>
      <x:c r="F859" s="99" t="str">
        <x:v>百万</x:v>
      </x:c>
      <x:c r="G859" s="99" t="str">
        <x:v>1. million /ˈmɪljən/ 百万</x:v>
      </x:c>
    </x:row>
    <x:row r="860" ht="18" customHeight="1">
      <x:c r="A860" s="99" t="str">
        <x:v>N</x:v>
      </x:c>
      <x:c r="B860" s="99" t="str">
        <x:v>名词</x:v>
      </x:c>
      <x:c r="C860" s="99" t="str"/>
      <x:c r="D860" s="99" t="str">
        <x:v>name</x:v>
      </x:c>
      <x:c r="E860" s="99" t="str">
        <x:v>/neɪm/</x:v>
      </x:c>
      <x:c r="F860" s="99" t="str">
        <x:v>名字；名称</x:v>
      </x:c>
      <x:c r="G860" s="99" t="str">
        <x:v>name /neɪm/ 名字；名称</x:v>
      </x:c>
    </x:row>
    <x:row r="861" ht="18" customHeight="1">
      <x:c r="A861" s="99" t="str">
        <x:v>N</x:v>
      </x:c>
      <x:c r="B861" s="99" t="str">
        <x:v>名词</x:v>
      </x:c>
      <x:c r="C861" s="99" t="str"/>
      <x:c r="D861" s="99" t="str">
        <x:v>nationality</x:v>
      </x:c>
      <x:c r="E861" s="99" t="str">
        <x:v>/ˌnæʃəˈnæləti/</x:v>
      </x:c>
      <x:c r="F861" s="99" t="str">
        <x:v>国籍</x:v>
      </x:c>
      <x:c r="G861" s="99" t="str">
        <x:v>nationality /ˌnæʃəˈnæləti/ 国籍</x:v>
      </x:c>
    </x:row>
    <x:row r="862" ht="18" customHeight="1">
      <x:c r="A862" s="99" t="str">
        <x:v>N</x:v>
      </x:c>
      <x:c r="B862" s="99" t="str">
        <x:v>名词</x:v>
      </x:c>
      <x:c r="C862" s="99" t="str"/>
      <x:c r="D862" s="99" t="str">
        <x:v>nature</x:v>
      </x:c>
      <x:c r="E862" s="99" t="str">
        <x:v>/ˈneɪtʃə/</x:v>
      </x:c>
      <x:c r="F862" s="99" t="str">
        <x:v>大自然；自然界</x:v>
      </x:c>
      <x:c r="G862" s="99" t="str">
        <x:v>nature /ˈneɪtʃə/ 大自然；自然界</x:v>
      </x:c>
    </x:row>
    <x:row r="863" ht="18" customHeight="1">
      <x:c r="A863" s="99" t="str">
        <x:v>N</x:v>
      </x:c>
      <x:c r="B863" s="99" t="str">
        <x:v>名词</x:v>
      </x:c>
      <x:c r="C863" s="99" t="str"/>
      <x:c r="D863" s="99" t="str">
        <x:v>neck</x:v>
      </x:c>
      <x:c r="E863" s="99" t="str">
        <x:v>/nek/</x:v>
      </x:c>
      <x:c r="F863" s="99" t="str">
        <x:v>颈；脖子</x:v>
      </x:c>
      <x:c r="G863" s="99" t="str">
        <x:v>neck /nek/ 颈；脖子</x:v>
      </x:c>
    </x:row>
    <x:row r="864" ht="18" customHeight="1">
      <x:c r="A864" s="99" t="str">
        <x:v>N</x:v>
      </x:c>
      <x:c r="B864" s="99" t="str">
        <x:v>名词</x:v>
      </x:c>
      <x:c r="C864" s="99" t="str"/>
      <x:c r="D864" s="99" t="str">
        <x:v>noise</x:v>
      </x:c>
      <x:c r="E864" s="99" t="str">
        <x:v>/nɔɪz/</x:v>
      </x:c>
      <x:c r="F864" s="99" t="str">
        <x:v>噪声；噪音；杂音</x:v>
      </x:c>
      <x:c r="G864" s="99" t="str">
        <x:v>noise /nɔɪz/ 噪声；噪音；杂音</x:v>
      </x:c>
    </x:row>
    <x:row r="865" ht="18" customHeight="1">
      <x:c r="A865" s="99" t="str">
        <x:v>N</x:v>
      </x:c>
      <x:c r="B865" s="99" t="str">
        <x:v>名词</x:v>
      </x:c>
      <x:c r="C865" s="99" t="str"/>
      <x:c r="D865" s="99" t="str">
        <x:v>north</x:v>
      </x:c>
      <x:c r="E865" s="99" t="str">
        <x:v>/nɔːθ/</x:v>
      </x:c>
      <x:c r="F865" s="99" t="str">
        <x:v>北；北方</x:v>
      </x:c>
      <x:c r="G865" s="99" t="str">
        <x:v>north /nɔːθ/ 北；北方</x:v>
      </x:c>
    </x:row>
    <x:row r="866" ht="18" customHeight="1">
      <x:c r="A866" s="99" t="str">
        <x:v>N</x:v>
      </x:c>
      <x:c r="B866" s="99" t="str">
        <x:v>名词</x:v>
      </x:c>
      <x:c r="C866" s="99" t="str"/>
      <x:c r="D866" s="99" t="str">
        <x:v>northwest</x:v>
      </x:c>
      <x:c r="E866" s="99" t="str">
        <x:v>/ˌnɔːθˈwest/</x:v>
      </x:c>
      <x:c r="F866" s="99" t="str">
        <x:v>西北</x:v>
      </x:c>
      <x:c r="G866" s="99" t="str">
        <x:v>northwest /ˌnɔːθˈwest/ 西北</x:v>
      </x:c>
    </x:row>
    <x:row r="867" ht="18" customHeight="1">
      <x:c r="A867" s="99" t="str">
        <x:v>N</x:v>
      </x:c>
      <x:c r="B867" s="99" t="str">
        <x:v>名词</x:v>
      </x:c>
      <x:c r="C867" s="99" t="str"/>
      <x:c r="D867" s="99" t="str">
        <x:v>notebook</x:v>
      </x:c>
      <x:c r="E867" s="99" t="str">
        <x:v>/ˈnəʊtbʊk/</x:v>
      </x:c>
      <x:c r="F867" s="99" t="str">
        <x:v>笔记本</x:v>
      </x:c>
      <x:c r="G867" s="99" t="str">
        <x:v>notebook /ˈnəʊtbʊk/ 笔记本</x:v>
      </x:c>
    </x:row>
    <x:row r="868" ht="18" customHeight="1">
      <x:c r="A868" s="99" t="str">
        <x:v>N</x:v>
      </x:c>
      <x:c r="B868" s="99" t="str">
        <x:v>名词</x:v>
      </x:c>
      <x:c r="C868" s="99" t="str"/>
      <x:c r="D868" s="99" t="str">
        <x:v>notice</x:v>
      </x:c>
      <x:c r="E868" s="99" t="str">
        <x:v>/ˈnəʊtɪs/</x:v>
      </x:c>
      <x:c r="F868" s="99" t="str">
        <x:v>通知；布告</x:v>
      </x:c>
      <x:c r="G868" s="99" t="str">
        <x:v>notice /ˈnəʊtɪs/ 通知；布告</x:v>
      </x:c>
    </x:row>
    <x:row r="869" ht="18" customHeight="1">
      <x:c r="A869" s="99" t="str">
        <x:v>N</x:v>
      </x:c>
      <x:c r="B869" s="99" t="str">
        <x:v>名词</x:v>
      </x:c>
      <x:c r="C869" s="99" t="str"/>
      <x:c r="D869" s="99" t="str">
        <x:v>novel</x:v>
      </x:c>
      <x:c r="E869" s="99" t="str">
        <x:v>/ˈnɒvl/</x:v>
      </x:c>
      <x:c r="F869" s="99" t="str">
        <x:v>（长篇）小说</x:v>
      </x:c>
      <x:c r="G869" s="99" t="str">
        <x:v>novel /ˈnɒvl/ （长篇）小说</x:v>
      </x:c>
    </x:row>
    <x:row r="870" ht="18" customHeight="1">
      <x:c r="A870" s="99" t="str">
        <x:v>N</x:v>
      </x:c>
      <x:c r="B870" s="99" t="str">
        <x:v>名词</x:v>
      </x:c>
      <x:c r="C870" s="99" t="str"/>
      <x:c r="D870" s="99" t="str">
        <x:v>National</x:v>
      </x:c>
      <x:c r="E870" s="99" t="str"/>
      <x:c r="F870" s="99" t="str">
        <x:v>Day 国庆节</x:v>
      </x:c>
      <x:c r="G870" s="99" t="str">
        <x:v>National Day 国庆节</x:v>
      </x:c>
    </x:row>
    <x:row r="871" ht="18" customHeight="1">
      <x:c r="A871" s="99" t="str">
        <x:v>N</x:v>
      </x:c>
      <x:c r="B871" s="99" t="str">
        <x:v>名词</x:v>
      </x:c>
      <x:c r="C871" s="99" t="str"/>
      <x:c r="D871" s="99" t="str">
        <x:v>newspaper</x:v>
      </x:c>
      <x:c r="E871" s="99" t="str">
        <x:v>/ˈnjuːzpeɪpə/</x:v>
      </x:c>
      <x:c r="F871" s="99" t="str">
        <x:v>报纸</x:v>
      </x:c>
      <x:c r="G871" s="99" t="str">
        <x:v>newspaper /ˈnjuːzpeɪpə/ 报纸</x:v>
      </x:c>
    </x:row>
    <x:row r="872" ht="18" customHeight="1">
      <x:c r="A872" s="99" t="str">
        <x:v>N</x:v>
      </x:c>
      <x:c r="B872" s="99" t="str">
        <x:v>名词</x:v>
      </x:c>
      <x:c r="C872" s="99" t="str"/>
      <x:c r="D872" s="99" t="str">
        <x:v>night</x:v>
      </x:c>
      <x:c r="E872" s="99" t="str">
        <x:v>/naɪt/</x:v>
      </x:c>
      <x:c r="F872" s="99" t="str">
        <x:v>夜晚</x:v>
      </x:c>
      <x:c r="G872" s="99" t="str">
        <x:v>night /naɪt/ 夜晚</x:v>
      </x:c>
    </x:row>
    <x:row r="873" ht="18" customHeight="1">
      <x:c r="A873" s="99" t="str">
        <x:v>N</x:v>
      </x:c>
      <x:c r="B873" s="99" t="str">
        <x:v>名词</x:v>
      </x:c>
      <x:c r="C873" s="99" t="str"/>
      <x:c r="D873" s="99" t="str">
        <x:v>nine</x:v>
      </x:c>
      <x:c r="E873" s="99" t="str">
        <x:v>/naɪn/</x:v>
      </x:c>
      <x:c r="F873" s="99" t="str">
        <x:v>九</x:v>
      </x:c>
      <x:c r="G873" s="99" t="str">
        <x:v>nine /naɪn/ 九</x:v>
      </x:c>
    </x:row>
    <x:row r="874" ht="18" customHeight="1">
      <x:c r="A874" s="99" t="str">
        <x:v>N</x:v>
      </x:c>
      <x:c r="B874" s="99" t="str">
        <x:v>名词</x:v>
      </x:c>
      <x:c r="C874" s="99" t="str"/>
      <x:c r="D874" s="99" t="str">
        <x:v>ninety</x:v>
      </x:c>
      <x:c r="E874" s="99" t="str">
        <x:v>/ˈnaɪnti/</x:v>
      </x:c>
      <x:c r="F874" s="99" t="str">
        <x:v>九十</x:v>
      </x:c>
      <x:c r="G874" s="99" t="str">
        <x:v>ninety /ˈnaɪnti/ 九十</x:v>
      </x:c>
    </x:row>
    <x:row r="875" ht="18" customHeight="1">
      <x:c r="A875" s="99" t="str">
        <x:v>N</x:v>
      </x:c>
      <x:c r="B875" s="99" t="str">
        <x:v>名词</x:v>
      </x:c>
      <x:c r="C875" s="99" t="str"/>
      <x:c r="D875" s="99" t="str">
        <x:v>ninth</x:v>
      </x:c>
      <x:c r="E875" s="99" t="str">
        <x:v>/naɪnθ/</x:v>
      </x:c>
      <x:c r="F875" s="99" t="str">
        <x:v>第九</x:v>
      </x:c>
      <x:c r="G875" s="99" t="str">
        <x:v>ninth /naɪnθ/ 第九</x:v>
      </x:c>
    </x:row>
    <x:row r="876" ht="18" customHeight="1">
      <x:c r="A876" s="99" t="str">
        <x:v>N</x:v>
      </x:c>
      <x:c r="B876" s="99" t="str">
        <x:v>名词</x:v>
      </x:c>
      <x:c r="C876" s="99" t="str"/>
      <x:c r="D876" s="99" t="str">
        <x:v>number</x:v>
      </x:c>
      <x:c r="E876" s="99" t="str">
        <x:v>/ˈnʌmbə/</x:v>
      </x:c>
      <x:c r="F876" s="99" t="str">
        <x:v>数字；号码</x:v>
      </x:c>
      <x:c r="G876" s="99" t="str">
        <x:v>number /ˈnʌmbə/ 数字；号码</x:v>
      </x:c>
    </x:row>
    <x:row r="877" ht="18" customHeight="1">
      <x:c r="A877" s="99" t="str">
        <x:v>N</x:v>
      </x:c>
      <x:c r="B877" s="99" t="str">
        <x:v>名词</x:v>
      </x:c>
      <x:c r="C877" s="99" t="str"/>
      <x:c r="D877" s="99" t="str">
        <x:v>nurse</x:v>
      </x:c>
      <x:c r="E877" s="99" t="str">
        <x:v>/nɜːs/</x:v>
      </x:c>
      <x:c r="F877" s="99" t="str">
        <x:v>护士</x:v>
      </x:c>
      <x:c r="G877" s="99" t="str">
        <x:v>nurse /nɜːs/ 护士</x:v>
      </x:c>
    </x:row>
    <x:row r="878" ht="18" customHeight="1">
      <x:c r="A878" s="99" t="str">
        <x:v>N</x:v>
      </x:c>
      <x:c r="B878" s="99" t="str">
        <x:v>动词</x:v>
      </x:c>
      <x:c r="C878" s="99" t="str"/>
      <x:c r="D878" s="99" t="str">
        <x:v>name</x:v>
      </x:c>
      <x:c r="E878" s="99" t="str">
        <x:v>/neɪm/</x:v>
      </x:c>
      <x:c r="F878" s="99" t="str">
        <x:v>给……取名；给……命名</x:v>
      </x:c>
      <x:c r="G878" s="99" t="str">
        <x:v>name /neɪm/ 给……取名；给……命名</x:v>
      </x:c>
    </x:row>
    <x:row r="879" ht="18" customHeight="1">
      <x:c r="A879" s="99" t="str">
        <x:v>N</x:v>
      </x:c>
      <x:c r="B879" s="99" t="str">
        <x:v>动词</x:v>
      </x:c>
      <x:c r="C879" s="99" t="str"/>
      <x:c r="D879" s="99" t="str">
        <x:v>notice</x:v>
      </x:c>
      <x:c r="E879" s="99" t="str">
        <x:v>/ˈnəʊtɪs/</x:v>
      </x:c>
      <x:c r="F879" s="99" t="str">
        <x:v>注意到；意识到</x:v>
      </x:c>
      <x:c r="G879" s="99" t="str">
        <x:v>notice /ˈnəʊtɪs/ 注意到；意识到</x:v>
      </x:c>
    </x:row>
    <x:row r="880" ht="18" customHeight="1">
      <x:c r="A880" s="99" t="str">
        <x:v>N</x:v>
      </x:c>
      <x:c r="B880" s="99" t="str">
        <x:v>形容词</x:v>
      </x:c>
      <x:c r="C880" s="99" t="str"/>
      <x:c r="D880" s="99" t="str">
        <x:v>national</x:v>
      </x:c>
      <x:c r="E880" s="99" t="str">
        <x:v>/ˈnæʃnəl/</x:v>
      </x:c>
      <x:c r="F880" s="99" t="str">
        <x:v>国家的；全国的</x:v>
      </x:c>
      <x:c r="G880" s="99" t="str">
        <x:v>national /ˈnæʃnəl/ 国家的；全国的</x:v>
      </x:c>
    </x:row>
    <x:row r="881" ht="18" customHeight="1">
      <x:c r="A881" s="99" t="str">
        <x:v>N</x:v>
      </x:c>
      <x:c r="B881" s="99" t="str">
        <x:v>形容词</x:v>
      </x:c>
      <x:c r="C881" s="99" t="str"/>
      <x:c r="D881" s="99" t="str">
        <x:v>natural</x:v>
      </x:c>
      <x:c r="E881" s="99" t="str">
        <x:v>/ˈnætʃrəl/</x:v>
      </x:c>
      <x:c r="F881" s="99" t="str">
        <x:v>自然的；天然的</x:v>
      </x:c>
      <x:c r="G881" s="99" t="str">
        <x:v>natural /ˈnætʃrəl/ 自然的；天然的</x:v>
      </x:c>
    </x:row>
    <x:row r="882" ht="18" customHeight="1">
      <x:c r="A882" s="99" t="str">
        <x:v>N</x:v>
      </x:c>
      <x:c r="B882" s="99" t="str">
        <x:v>形容词</x:v>
      </x:c>
      <x:c r="C882" s="99" t="str"/>
      <x:c r="D882" s="99" t="str">
        <x:v>near</x:v>
      </x:c>
      <x:c r="E882" s="99" t="str">
        <x:v>/nɪə/</x:v>
      </x:c>
      <x:c r="F882" s="99" t="str">
        <x:v>在……附近；靠近</x:v>
      </x:c>
      <x:c r="G882" s="99" t="str">
        <x:v>near /nɪə/ 在……附近；靠近</x:v>
      </x:c>
    </x:row>
    <x:row r="883" ht="18" customHeight="1">
      <x:c r="A883" s="99" t="str">
        <x:v>N</x:v>
      </x:c>
      <x:c r="B883" s="99" t="str">
        <x:v>形容词</x:v>
      </x:c>
      <x:c r="C883" s="99" t="str"/>
      <x:c r="D883" s="99" t="str">
        <x:v>new</x:v>
      </x:c>
      <x:c r="E883" s="99" t="str">
        <x:v>/njuː/</x:v>
      </x:c>
      <x:c r="F883" s="99" t="str">
        <x:v>新的；新鲜的</x:v>
      </x:c>
      <x:c r="G883" s="99" t="str">
        <x:v>new /njuː/ 新的；新鲜的</x:v>
      </x:c>
    </x:row>
    <x:row r="884" ht="18" customHeight="1">
      <x:c r="A884" s="99" t="str">
        <x:v>N</x:v>
      </x:c>
      <x:c r="B884" s="99" t="str">
        <x:v>形容词</x:v>
      </x:c>
      <x:c r="C884" s="99" t="str"/>
      <x:c r="D884" s="99" t="str">
        <x:v>nice</x:v>
      </x:c>
      <x:c r="E884" s="99" t="str">
        <x:v>/naɪs/</x:v>
      </x:c>
      <x:c r="F884" s="99" t="str">
        <x:v>友好的；亲切的；令人愉快的</x:v>
      </x:c>
      <x:c r="G884" s="99" t="str">
        <x:v>nice /naɪs/ 友好的；亲切的；令人愉快的</x:v>
      </x:c>
    </x:row>
    <x:row r="885" ht="18" customHeight="1">
      <x:c r="A885" s="99" t="str">
        <x:v>N</x:v>
      </x:c>
      <x:c r="B885" s="99" t="str">
        <x:v>形容词</x:v>
      </x:c>
      <x:c r="C885" s="99" t="str"/>
      <x:c r="D885" s="99" t="str">
        <x:v>no</x:v>
      </x:c>
      <x:c r="E885" s="99" t="str">
        <x:v>/nəʊ/</x:v>
      </x:c>
      <x:c r="F885" s="99" t="str">
        <x:v>没有；无</x:v>
      </x:c>
      <x:c r="G885" s="99" t="str">
        <x:v>no /nəʊ/ 没有；无</x:v>
      </x:c>
    </x:row>
    <x:row r="886" ht="18" customHeight="1">
      <x:c r="A886" s="99" t="str">
        <x:v>N</x:v>
      </x:c>
      <x:c r="B886" s="99" t="str">
        <x:v>形容词</x:v>
      </x:c>
      <x:c r="C886" s="99" t="str"/>
      <x:c r="D886" s="99" t="str">
        <x:v>north</x:v>
      </x:c>
      <x:c r="E886" s="99" t="str">
        <x:v>/nɔːθ/</x:v>
      </x:c>
      <x:c r="F886" s="99" t="str">
        <x:v>在北方的；朝北的</x:v>
      </x:c>
      <x:c r="G886" s="99" t="str">
        <x:v>north /nɔːθ/ 在北方的；朝北的</x:v>
      </x:c>
    </x:row>
    <x:row r="887" ht="18" customHeight="1">
      <x:c r="A887" s="99" t="str">
        <x:v>N</x:v>
      </x:c>
      <x:c r="B887" s="99" t="str">
        <x:v>形容词</x:v>
      </x:c>
      <x:c r="C887" s="99" t="str"/>
      <x:c r="D887" s="99" t="str">
        <x:v>northwest</x:v>
      </x:c>
      <x:c r="E887" s="99" t="str">
        <x:v>/ˌnɔːθˈwest/</x:v>
      </x:c>
      <x:c r="F887" s="99" t="str">
        <x:v>西北的；朝西北的</x:v>
      </x:c>
      <x:c r="G887" s="99" t="str">
        <x:v>northwest /ˌnɔːθˈwest/ 西北的；朝西北的</x:v>
      </x:c>
    </x:row>
    <x:row r="888" ht="18" customHeight="1">
      <x:c r="A888" s="99" t="str">
        <x:v>N</x:v>
      </x:c>
      <x:c r="B888" s="99" t="str">
        <x:v>形容词</x:v>
      </x:c>
      <x:c r="C888" s="99" t="str"/>
      <x:c r="D888" s="99" t="str">
        <x:v>nervous</x:v>
      </x:c>
      <x:c r="E888" s="99" t="str">
        <x:v>/ˈnɜːvəs/</x:v>
      </x:c>
      <x:c r="F888" s="99" t="str">
        <x:v>紧张的</x:v>
      </x:c>
      <x:c r="G888" s="99" t="str">
        <x:v>nervous /ˈnɜːvəs/ 紧张的</x:v>
      </x:c>
    </x:row>
    <x:row r="889" ht="18" customHeight="1">
      <x:c r="A889" s="99" t="str">
        <x:v>N</x:v>
      </x:c>
      <x:c r="B889" s="99" t="str">
        <x:v>形容词</x:v>
      </x:c>
      <x:c r="C889" s="99" t="str"/>
      <x:c r="D889" s="99" t="str">
        <x:v>next</x:v>
      </x:c>
      <x:c r="E889" s="99" t="str">
        <x:v>/nekst/</x:v>
      </x:c>
      <x:c r="F889" s="99" t="str">
        <x:v>下一个的；紧接的</x:v>
      </x:c>
      <x:c r="G889" s="99" t="str">
        <x:v>next /nekst/ 下一个的；紧接的</x:v>
      </x:c>
    </x:row>
    <x:row r="890" ht="18" customHeight="1">
      <x:c r="A890" s="99" t="str">
        <x:v>N</x:v>
      </x:c>
      <x:c r="B890" s="99" t="str">
        <x:v>形容词</x:v>
      </x:c>
      <x:c r="C890" s="99" t="str"/>
      <x:c r="D890" s="99" t="str">
        <x:v>northern</x:v>
      </x:c>
      <x:c r="E890" s="99" t="str">
        <x:v>/ˈnɔːðən/</x:v>
      </x:c>
      <x:c r="F890" s="99" t="str">
        <x:v>北方的；北部的</x:v>
      </x:c>
      <x:c r="G890" s="99" t="str">
        <x:v>northern /ˈnɔːðən/ 北方的；北部的</x:v>
      </x:c>
    </x:row>
    <x:row r="891" ht="18" customHeight="1">
      <x:c r="A891" s="99" t="str">
        <x:v>N</x:v>
      </x:c>
      <x:c r="B891" s="99" t="str">
        <x:v>形容词</x:v>
      </x:c>
      <x:c r="C891" s="99" t="str"/>
      <x:c r="D891" s="99" t="str">
        <x:v>noisy</x:v>
      </x:c>
      <x:c r="E891" s="99" t="str">
        <x:v>/ˈnɔɪzi/</x:v>
      </x:c>
      <x:c r="F891" s="99" t="str">
        <x:v>吵闹的</x:v>
      </x:c>
      <x:c r="G891" s="99" t="str">
        <x:v>noisy /ˈnɔɪzi/ 吵闹的</x:v>
      </x:c>
    </x:row>
    <x:row r="892" ht="18" customHeight="1">
      <x:c r="A892" s="99" t="str">
        <x:v>N</x:v>
      </x:c>
      <x:c r="B892" s="99" t="str">
        <x:v>形容词</x:v>
      </x:c>
      <x:c r="C892" s="99" t="str"/>
      <x:c r="D892" s="99" t="str">
        <x:v>none</x:v>
      </x:c>
      <x:c r="E892" s="99" t="str">
        <x:v>/nʌn/</x:v>
      </x:c>
      <x:c r="F892" s="99" t="str">
        <x:v>没有一个；毫无</x:v>
      </x:c>
      <x:c r="G892" s="99" t="str">
        <x:v>none /nʌn/ 没有一个；毫无</x:v>
      </x:c>
    </x:row>
    <x:row r="893" ht="18" customHeight="1">
      <x:c r="A893" s="99" t="str">
        <x:v>N</x:v>
      </x:c>
      <x:c r="B893" s="99" t="str">
        <x:v>形容词</x:v>
      </x:c>
      <x:c r="C893" s="99" t="str"/>
      <x:c r="D893" s="99" t="str">
        <x:v>now</x:v>
      </x:c>
      <x:c r="E893" s="99" t="str">
        <x:v>/naʊ/</x:v>
      </x:c>
      <x:c r="F893" s="99" t="str">
        <x:v>现在；目前</x:v>
      </x:c>
      <x:c r="G893" s="99" t="str">
        <x:v>now /naʊ/ 现在；目前</x:v>
      </x:c>
    </x:row>
    <x:row r="894" ht="18" customHeight="1">
      <x:c r="A894" s="99" t="str">
        <x:v>N</x:v>
      </x:c>
      <x:c r="B894" s="99" t="str">
        <x:v>副词</x:v>
      </x:c>
      <x:c r="C894" s="99" t="str"/>
      <x:c r="D894" s="99" t="str">
        <x:v>near</x:v>
      </x:c>
      <x:c r="E894" s="99" t="str">
        <x:v>/nɪə/</x:v>
      </x:c>
      <x:c r="F894" s="99" t="str">
        <x:v>近；接近</x:v>
      </x:c>
      <x:c r="G894" s="99" t="str">
        <x:v>near /nɪə/ 近；接近</x:v>
      </x:c>
    </x:row>
    <x:row r="895" ht="18" customHeight="1">
      <x:c r="A895" s="99" t="str">
        <x:v>N</x:v>
      </x:c>
      <x:c r="B895" s="99" t="str">
        <x:v>副词</x:v>
      </x:c>
      <x:c r="C895" s="99" t="str"/>
      <x:c r="D895" s="99" t="str">
        <x:v>next</x:v>
      </x:c>
      <x:c r="E895" s="99" t="str">
        <x:v>/nekst/</x:v>
      </x:c>
      <x:c r="F895" s="99" t="str">
        <x:v>然后；接下来</x:v>
      </x:c>
      <x:c r="G895" s="99" t="str">
        <x:v>next /nekst/ 然后；接下来</x:v>
      </x:c>
    </x:row>
    <x:row r="896" ht="18" customHeight="1">
      <x:c r="A896" s="99" t="str">
        <x:v>N</x:v>
      </x:c>
      <x:c r="B896" s="99" t="str">
        <x:v>副词</x:v>
      </x:c>
      <x:c r="C896" s="99" t="str"/>
      <x:c r="D896" s="99" t="str">
        <x:v>no</x:v>
      </x:c>
      <x:c r="E896" s="99" t="str">
        <x:v>/nəʊ/</x:v>
      </x:c>
      <x:c r="F896" s="99" t="str">
        <x:v>不；不是；没有</x:v>
      </x:c>
      <x:c r="G896" s="99" t="str">
        <x:v>no /nəʊ/ 不；不是；没有</x:v>
      </x:c>
    </x:row>
    <x:row r="897" ht="18" customHeight="1">
      <x:c r="A897" s="99" t="str">
        <x:v>N</x:v>
      </x:c>
      <x:c r="B897" s="99" t="str">
        <x:v>副词</x:v>
      </x:c>
      <x:c r="C897" s="99" t="str"/>
      <x:c r="D897" s="99" t="str">
        <x:v>none</x:v>
      </x:c>
      <x:c r="E897" s="99" t="str">
        <x:v>/nʌn/</x:v>
      </x:c>
      <x:c r="F897" s="99" t="str">
        <x:v>一点也不；毫不</x:v>
      </x:c>
      <x:c r="G897" s="99" t="str">
        <x:v>none /nʌn/ 一点也不；毫不</x:v>
      </x:c>
    </x:row>
    <x:row r="898" ht="18" customHeight="1">
      <x:c r="A898" s="99" t="str">
        <x:v>N</x:v>
      </x:c>
      <x:c r="B898" s="99" t="str">
        <x:v>副词</x:v>
      </x:c>
      <x:c r="C898" s="99" t="str"/>
      <x:c r="D898" s="99" t="str">
        <x:v>now</x:v>
      </x:c>
      <x:c r="E898" s="99" t="str">
        <x:v>/naʊ/</x:v>
      </x:c>
      <x:c r="F898" s="99" t="str">
        <x:v>现在；此刻</x:v>
      </x:c>
      <x:c r="G898" s="99" t="str">
        <x:v>now /naʊ/ 现在；此刻</x:v>
      </x:c>
    </x:row>
    <x:row r="899" ht="18" customHeight="1">
      <x:c r="A899" s="99" t="str">
        <x:v>N</x:v>
      </x:c>
      <x:c r="B899" s="99" t="str">
        <x:v>副词</x:v>
      </x:c>
      <x:c r="C899" s="99" t="str"/>
      <x:c r="D899" s="99" t="str">
        <x:v>not</x:v>
      </x:c>
      <x:c r="E899" s="99" t="str">
        <x:v>/nɒt/</x:v>
      </x:c>
      <x:c r="F899" s="99" t="str">
        <x:v>不；没有</x:v>
      </x:c>
      <x:c r="G899" s="99" t="str">
        <x:v>not /nɒt/ 不；没有</x:v>
      </x:c>
    </x:row>
    <x:row r="900" ht="18" customHeight="1">
      <x:c r="A900" s="99" t="str">
        <x:v>N</x:v>
      </x:c>
      <x:c r="B900" s="99" t="str">
        <x:v>副词</x:v>
      </x:c>
      <x:c r="C900" s="99" t="str"/>
      <x:c r="D900" s="99" t="str">
        <x:v>too</x:v>
      </x:c>
      <x:c r="E900" s="99" t="str"/>
      <x:c r="F900" s="99" t="str">
        <x:v>much 太多（N 开头无相关，M 开头已列）</x:v>
      </x:c>
      <x:c r="G900" s="99" t="str">
        <x:v>too much 太多（N 开头无相关，M 开头已列）</x:v>
      </x:c>
    </x:row>
    <x:row r="901" ht="18" customHeight="1">
      <x:c r="A901" s="99" t="str">
        <x:v>N</x:v>
      </x:c>
      <x:c r="B901" s="99" t="str">
        <x:v>副词</x:v>
      </x:c>
      <x:c r="C901" s="99" t="str"/>
      <x:c r="D901" s="99" t="str">
        <x:v>neither</x:v>
      </x:c>
      <x:c r="E901" s="99" t="str">
        <x:v>/ˈnaɪðə/</x:v>
      </x:c>
      <x:c r="F901" s="99" t="str">
        <x:v>也不（补充）</x:v>
      </x:c>
      <x:c r="G901" s="99" t="str">
        <x:v>neither /ˈnaɪðə/ 也不（补充）</x:v>
      </x:c>
    </x:row>
    <x:row r="902" ht="18" customHeight="1">
      <x:c r="A902" s="99" t="str">
        <x:v>N</x:v>
      </x:c>
      <x:c r="B902" s="99" t="str">
        <x:v>代词</x:v>
      </x:c>
      <x:c r="C902" s="99" t="str"/>
      <x:c r="D902" s="99" t="str">
        <x:v>none</x:v>
      </x:c>
      <x:c r="E902" s="99" t="str">
        <x:v>/nʌn/</x:v>
      </x:c>
      <x:c r="F902" s="99" t="str">
        <x:v>没有一个；毫无</x:v>
      </x:c>
      <x:c r="G902" s="99" t="str">
        <x:v>none /nʌn/ 没有一个；毫无</x:v>
      </x:c>
    </x:row>
    <x:row r="903" ht="18" customHeight="1">
      <x:c r="A903" s="99" t="str">
        <x:v>N</x:v>
      </x:c>
      <x:c r="B903" s="99" t="str">
        <x:v>代词</x:v>
      </x:c>
      <x:c r="C903" s="99" t="str"/>
      <x:c r="D903" s="99" t="str">
        <x:v>neither</x:v>
      </x:c>
      <x:c r="E903" s="99" t="str">
        <x:v>/ˈnaɪðə/</x:v>
      </x:c>
      <x:c r="F903" s="99" t="str">
        <x:v>两者都不（补充）</x:v>
      </x:c>
      <x:c r="G903" s="99" t="str">
        <x:v>neither /ˈnaɪðə/ 两者都不（补充）</x:v>
      </x:c>
    </x:row>
    <x:row r="904" ht="18" customHeight="1">
      <x:c r="A904" s="99" t="str">
        <x:v>N</x:v>
      </x:c>
      <x:c r="B904" s="99" t="str">
        <x:v>数词</x:v>
      </x:c>
      <x:c r="C904" s="99" t="str"/>
      <x:c r="D904" s="99" t="str">
        <x:v>nine</x:v>
      </x:c>
      <x:c r="E904" s="99" t="str">
        <x:v>/naɪn/</x:v>
      </x:c>
      <x:c r="F904" s="99" t="str">
        <x:v>九</x:v>
      </x:c>
      <x:c r="G904" s="99" t="str">
        <x:v>nine /naɪn/ 九</x:v>
      </x:c>
    </x:row>
    <x:row r="905" ht="18" customHeight="1">
      <x:c r="A905" s="99" t="str">
        <x:v>N</x:v>
      </x:c>
      <x:c r="B905" s="99" t="str">
        <x:v>数词</x:v>
      </x:c>
      <x:c r="C905" s="99" t="str"/>
      <x:c r="D905" s="99" t="str">
        <x:v>ninety</x:v>
      </x:c>
      <x:c r="E905" s="99" t="str">
        <x:v>/ˈnaɪnti/</x:v>
      </x:c>
      <x:c r="F905" s="99" t="str">
        <x:v>九十</x:v>
      </x:c>
      <x:c r="G905" s="99" t="str">
        <x:v>ninety /ˈnaɪnti/ 九十</x:v>
      </x:c>
    </x:row>
    <x:row r="906" ht="18" customHeight="1">
      <x:c r="A906" s="99" t="str">
        <x:v>N</x:v>
      </x:c>
      <x:c r="B906" s="99" t="str">
        <x:v>数词</x:v>
      </x:c>
      <x:c r="C906" s="99" t="str"/>
      <x:c r="D906" s="99" t="str">
        <x:v>ninth</x:v>
      </x:c>
      <x:c r="E906" s="99" t="str">
        <x:v>/naɪnθ/</x:v>
      </x:c>
      <x:c r="F906" s="99" t="str">
        <x:v>第九</x:v>
      </x:c>
      <x:c r="G906" s="99" t="str">
        <x:v>ninth /naɪnθ/ 第九</x:v>
      </x:c>
    </x:row>
    <x:row r="907" ht="18" customHeight="1">
      <x:c r="A907" s="99" t="str">
        <x:v>N</x:v>
      </x:c>
      <x:c r="B907" s="99" t="str">
        <x:v>数词</x:v>
      </x:c>
      <x:c r="C907" s="99" t="str"/>
      <x:c r="D907" s="99" t="str">
        <x:v>number</x:v>
      </x:c>
      <x:c r="E907" s="99" t="str">
        <x:v>/ˈnʌmbə/</x:v>
      </x:c>
      <x:c r="F907" s="99" t="str">
        <x:v>数字（补充）</x:v>
      </x:c>
      <x:c r="G907" s="99" t="str">
        <x:v>number /ˈnʌmbə/ 数字（补充）</x:v>
      </x:c>
    </x:row>
    <x:row r="908" ht="18" customHeight="1">
      <x:c r="A908" s="99" t="str">
        <x:v>N</x:v>
      </x:c>
      <x:c r="B908" s="99" t="str">
        <x:v>短语</x:v>
      </x:c>
      <x:c r="C908" s="99" t="str"/>
      <x:c r="D908" s="99" t="str">
        <x:v>neither...nor...</x:v>
      </x:c>
      <x:c r="E908" s="99" t="str"/>
      <x:c r="F908" s="99" t="str">
        <x:v>既不……也不……</x:v>
      </x:c>
      <x:c r="G908" s="99" t="str">
        <x:v>neither...nor... 既不……也不……</x:v>
      </x:c>
    </x:row>
    <x:row r="909" ht="18" customHeight="1">
      <x:c r="A909" s="99" t="str">
        <x:v>N</x:v>
      </x:c>
      <x:c r="B909" s="99" t="str">
        <x:v>短语</x:v>
      </x:c>
      <x:c r="C909" s="99" t="str"/>
      <x:c r="D909" s="99" t="str">
        <x:v>next</x:v>
      </x:c>
      <x:c r="E909" s="99" t="str"/>
      <x:c r="F909" s="99" t="str">
        <x:v>to 紧挨着；靠近</x:v>
      </x:c>
      <x:c r="G909" s="99" t="str">
        <x:v>next to 紧挨着；靠近</x:v>
      </x:c>
    </x:row>
    <x:row r="910" ht="18" customHeight="1">
      <x:c r="A910" s="99" t="str">
        <x:v>N</x:v>
      </x:c>
      <x:c r="B910" s="99" t="str">
        <x:v>短语</x:v>
      </x:c>
      <x:c r="C910" s="99" t="str"/>
      <x:c r="D910" s="99" t="str">
        <x:v>no</x:v>
      </x:c>
      <x:c r="E910" s="99" t="str"/>
      <x:c r="F910" s="99" t="str">
        <x:v>problem 没问题</x:v>
      </x:c>
      <x:c r="G910" s="99" t="str">
        <x:v>no problem 没问题</x:v>
      </x:c>
    </x:row>
    <x:row r="911" ht="18" customHeight="1">
      <x:c r="A911" s="99" t="str">
        <x:v>N</x:v>
      </x:c>
      <x:c r="B911" s="99" t="str">
        <x:v>短语</x:v>
      </x:c>
      <x:c r="C911" s="99" t="str"/>
      <x:c r="D911" s="99" t="str">
        <x:v>not</x:v>
      </x:c>
      <x:c r="E911" s="99" t="str"/>
      <x:c r="F911" s="99" t="str">
        <x:v>at all 一点也不</x:v>
      </x:c>
      <x:c r="G911" s="99" t="str">
        <x:v>not at all 一点也不</x:v>
      </x:c>
    </x:row>
    <x:row r="912" ht="18" customHeight="1">
      <x:c r="A912" s="99" t="str">
        <x:v>N</x:v>
      </x:c>
      <x:c r="B912" s="99" t="str">
        <x:v>短语</x:v>
      </x:c>
      <x:c r="C912" s="99" t="str"/>
      <x:c r="D912" s="99" t="str">
        <x:v>none</x:v>
      </x:c>
      <x:c r="E912" s="99" t="str"/>
      <x:c r="F912" s="99" t="str">
        <x:v>of 没有一个</x:v>
      </x:c>
      <x:c r="G912" s="99" t="str">
        <x:v>none of 没有一个</x:v>
      </x:c>
    </x:row>
    <x:row r="913" ht="18" customHeight="1">
      <x:c r="A913" s="99" t="str">
        <x:v>N</x:v>
      </x:c>
      <x:c r="B913" s="99" t="str">
        <x:v>短语</x:v>
      </x:c>
      <x:c r="C913" s="99" t="str"/>
      <x:c r="D913" s="99" t="str">
        <x:v>not...any</x:v>
      </x:c>
      <x:c r="E913" s="99" t="str"/>
      <x:c r="F913" s="99" t="str">
        <x:v>more 不再</x:v>
      </x:c>
      <x:c r="G913" s="99" t="str">
        <x:v>not...any more 不再</x:v>
      </x:c>
    </x:row>
    <x:row r="914" ht="18" customHeight="1">
      <x:c r="A914" s="99" t="str">
        <x:v>N</x:v>
      </x:c>
      <x:c r="B914" s="99" t="str">
        <x:v>短语</x:v>
      </x:c>
      <x:c r="C914" s="99" t="str"/>
      <x:c r="D914" s="99" t="str">
        <x:v>have</x:v>
      </x:c>
      <x:c r="E914" s="99" t="str"/>
      <x:c r="F914" s="99" t="str">
        <x:v>no idea 不知道</x:v>
      </x:c>
      <x:c r="G914" s="99" t="str">
        <x:v>have no idea 不知道</x:v>
      </x:c>
    </x:row>
    <x:row r="915" ht="18" customHeight="1">
      <x:c r="A915" s="99" t="str">
        <x:v>N</x:v>
      </x:c>
      <x:c r="B915" s="99" t="str">
        <x:v>短语</x:v>
      </x:c>
      <x:c r="C915" s="99" t="str"/>
      <x:c r="D915" s="99" t="str">
        <x:v>National</x:v>
      </x:c>
      <x:c r="E915" s="99" t="str"/>
      <x:c r="F915" s="99" t="str">
        <x:v>Day 国庆节</x:v>
      </x:c>
      <x:c r="G915" s="99" t="str">
        <x:v>National Day 国庆节</x:v>
      </x:c>
    </x:row>
    <x:row r="916" ht="18" customHeight="1">
      <x:c r="A916" s="99" t="str">
        <x:v>O</x:v>
      </x:c>
      <x:c r="B916" s="99" t="str">
        <x:v>名词</x:v>
      </x:c>
      <x:c r="C916" s="99" t="n">
        <x:v>1</x:v>
      </x:c>
      <x:c r="D916" s="99" t="str">
        <x:v>o'clock</x:v>
      </x:c>
      <x:c r="E916" s="99" t="str">
        <x:v>/əˈklɒk/</x:v>
      </x:c>
      <x:c r="F916" s="99" t="str">
        <x:v>……点钟</x:v>
      </x:c>
      <x:c r="G916" s="99" t="str">
        <x:v>1. o'clock /əˈklɒk/ ……点钟</x:v>
      </x:c>
    </x:row>
    <x:row r="917" ht="18" customHeight="1">
      <x:c r="A917" s="99" t="str">
        <x:v>O</x:v>
      </x:c>
      <x:c r="B917" s="99" t="str">
        <x:v>名词</x:v>
      </x:c>
      <x:c r="C917" s="99" t="n">
        <x:v>2</x:v>
      </x:c>
      <x:c r="D917" s="99" t="str">
        <x:v>ocean</x:v>
      </x:c>
      <x:c r="E917" s="99" t="str">
        <x:v>/ˈəʊʃn/</x:v>
      </x:c>
      <x:c r="F917" s="99" t="str">
        <x:v>大海；海洋</x:v>
      </x:c>
      <x:c r="G917" s="99" t="str">
        <x:v>2. ocean /ˈəʊʃn/ 大海；海洋</x:v>
      </x:c>
    </x:row>
    <x:row r="918" ht="18" customHeight="1">
      <x:c r="A918" s="99" t="str">
        <x:v>O</x:v>
      </x:c>
      <x:c r="B918" s="99" t="str">
        <x:v>名词</x:v>
      </x:c>
      <x:c r="C918" s="99" t="n">
        <x:v>3</x:v>
      </x:c>
      <x:c r="D918" s="99" t="str">
        <x:v>office</x:v>
      </x:c>
      <x:c r="E918" s="99" t="str">
        <x:v>/ˈɒfɪs/</x:v>
      </x:c>
      <x:c r="F918" s="99" t="str">
        <x:v>办公室</x:v>
      </x:c>
      <x:c r="G918" s="99" t="str">
        <x:v>3. office /ˈɒfɪs/ 办公室</x:v>
      </x:c>
    </x:row>
    <x:row r="919" ht="18" customHeight="1">
      <x:c r="A919" s="99" t="str">
        <x:v>O</x:v>
      </x:c>
      <x:c r="B919" s="99" t="str">
        <x:v>名词</x:v>
      </x:c>
      <x:c r="C919" s="99" t="n">
        <x:v>4</x:v>
      </x:c>
      <x:c r="D919" s="99" t="str">
        <x:v>oil</x:v>
      </x:c>
      <x:c r="E919" s="99" t="str">
        <x:v>/ɔɪl/</x:v>
      </x:c>
      <x:c r="F919" s="99" t="str">
        <x:v>油；石油</x:v>
      </x:c>
      <x:c r="G919" s="99" t="str">
        <x:v>4. oil /ɔɪl/ 油；石油</x:v>
      </x:c>
    </x:row>
    <x:row r="920" ht="18" customHeight="1">
      <x:c r="A920" s="99" t="str">
        <x:v>O</x:v>
      </x:c>
      <x:c r="B920" s="99" t="str">
        <x:v>名词</x:v>
      </x:c>
      <x:c r="C920" s="99" t="n">
        <x:v>5</x:v>
      </x:c>
      <x:c r="D920" s="99" t="str">
        <x:v>Olympics</x:v>
      </x:c>
      <x:c r="E920" s="99" t="str">
        <x:v>/əˈlɪmpɪks/</x:v>
      </x:c>
      <x:c r="F920" s="99" t="str">
        <x:v>奥林匹克运动会</x:v>
      </x:c>
      <x:c r="G920" s="99" t="str">
        <x:v>5. Olympics /əˈlɪmpɪks/ 奥林匹克运动会</x:v>
      </x:c>
    </x:row>
    <x:row r="921" ht="18" customHeight="1">
      <x:c r="A921" s="99" t="str">
        <x:v>O</x:v>
      </x:c>
      <x:c r="B921" s="99" t="str">
        <x:v>名词</x:v>
      </x:c>
      <x:c r="C921" s="99" t="n">
        <x:v>6</x:v>
      </x:c>
      <x:c r="D921" s="99" t="str">
        <x:v>orange</x:v>
      </x:c>
      <x:c r="E921" s="99" t="str">
        <x:v>/ˈɒrɪndʒ/</x:v>
      </x:c>
      <x:c r="F921" s="99" t="str">
        <x:v>橙子；柑橘</x:v>
      </x:c>
      <x:c r="G921" s="99" t="str">
        <x:v>6. orange /ˈɒrɪndʒ/ 橙子；柑橘</x:v>
      </x:c>
    </x:row>
    <x:row r="922" ht="18" customHeight="1">
      <x:c r="A922" s="99" t="str">
        <x:v>O</x:v>
      </x:c>
      <x:c r="B922" s="99" t="str">
        <x:v>名词</x:v>
      </x:c>
      <x:c r="C922" s="99" t="n">
        <x:v>7</x:v>
      </x:c>
      <x:c r="D922" s="99" t="str">
        <x:v>order</x:v>
      </x:c>
      <x:c r="E922" s="99" t="str">
        <x:v>/ˈɔːdə/</x:v>
      </x:c>
      <x:c r="F922" s="99" t="str">
        <x:v>顺序；命令</x:v>
      </x:c>
      <x:c r="G922" s="99" t="str">
        <x:v>7. order /ˈɔːdə/ 顺序；命令</x:v>
      </x:c>
    </x:row>
    <x:row r="923" ht="18" customHeight="1">
      <x:c r="A923" s="99" t="str">
        <x:v>O</x:v>
      </x:c>
      <x:c r="B923" s="99" t="str">
        <x:v>名词</x:v>
      </x:c>
      <x:c r="C923" s="99" t="n">
        <x:v>8</x:v>
      </x:c>
      <x:c r="D923" s="99" t="str">
        <x:v>other</x:v>
      </x:c>
      <x:c r="E923" s="99" t="str">
        <x:v>/ˈʌðə/</x:v>
      </x:c>
      <x:c r="F923" s="99" t="str">
        <x:v>其他的人或物（兼作形容词）</x:v>
      </x:c>
      <x:c r="G923" s="99" t="str">
        <x:v>8. other /ˈʌðə/ 其他的人或物（兼作形容词）</x:v>
      </x:c>
    </x:row>
    <x:row r="924" ht="18" customHeight="1">
      <x:c r="A924" s="99" t="str">
        <x:v>O</x:v>
      </x:c>
      <x:c r="B924" s="99" t="str">
        <x:v>名词</x:v>
      </x:c>
      <x:c r="C924" s="99" t="n">
        <x:v>9</x:v>
      </x:c>
      <x:c r="D924" s="99" t="str">
        <x:v>our</x:v>
      </x:c>
      <x:c r="E924" s="99" t="str">
        <x:v>/ˈaʊə/</x:v>
      </x:c>
      <x:c r="F924" s="99" t="str">
        <x:v>我们的（形容词性物主代词）</x:v>
      </x:c>
      <x:c r="G924" s="99" t="str">
        <x:v>9. our /ˈaʊə/ 我们的（形容词性物主代词）</x:v>
      </x:c>
    </x:row>
    <x:row r="925" ht="18" customHeight="1">
      <x:c r="A925" s="99" t="str">
        <x:v>O</x:v>
      </x:c>
      <x:c r="B925" s="99" t="str">
        <x:v>名词</x:v>
      </x:c>
      <x:c r="C925" s="99" t="n">
        <x:v>10</x:v>
      </x:c>
      <x:c r="D925" s="99" t="str">
        <x:v>ours</x:v>
      </x:c>
      <x:c r="E925" s="99" t="str">
        <x:v>/ˈaʊəz/</x:v>
      </x:c>
      <x:c r="F925" s="99" t="str">
        <x:v>我们的（名词性物主代词）</x:v>
      </x:c>
      <x:c r="G925" s="99" t="str">
        <x:v>10. ours /ˈaʊəz/ 我们的（名词性物主代词）</x:v>
      </x:c>
    </x:row>
    <x:row r="926" ht="18" customHeight="1">
      <x:c r="A926" s="99" t="str">
        <x:v>O</x:v>
      </x:c>
      <x:c r="B926" s="99" t="str">
        <x:v>名词</x:v>
      </x:c>
      <x:c r="C926" s="99" t="n">
        <x:v>11</x:v>
      </x:c>
      <x:c r="D926" s="99" t="str">
        <x:v>ourselves</x:v>
      </x:c>
      <x:c r="E926" s="99" t="str">
        <x:v>/ˌaʊəˈselvz/</x:v>
      </x:c>
      <x:c r="F926" s="99" t="str">
        <x:v>我们自己</x:v>
      </x:c>
      <x:c r="G926" s="99" t="str">
        <x:v>11. ourselves /ˌaʊəˈselvz/ 我们自己</x:v>
      </x:c>
    </x:row>
    <x:row r="927" ht="18" customHeight="1">
      <x:c r="A927" s="99" t="str">
        <x:v>O</x:v>
      </x:c>
      <x:c r="B927" s="99" t="str">
        <x:v>名词</x:v>
      </x:c>
      <x:c r="C927" s="99" t="n">
        <x:v>12</x:v>
      </x:c>
      <x:c r="D927" s="99" t="str">
        <x:v>over</x:v>
      </x:c>
      <x:c r="E927" s="99" t="str">
        <x:v>/ˈəʊvə/</x:v>
      </x:c>
      <x:c r="F927" s="99" t="str">
        <x:v>上方；结束（兼作介词/副词）</x:v>
      </x:c>
      <x:c r="G927" s="99" t="str">
        <x:v>12. over /ˈəʊvə/ 上方；结束（兼作介词/副词）</x:v>
      </x:c>
    </x:row>
    <x:row r="928" ht="18" customHeight="1">
      <x:c r="A928" s="99" t="str">
        <x:v>O</x:v>
      </x:c>
      <x:c r="B928" s="99" t="str">
        <x:v>动词</x:v>
      </x:c>
      <x:c r="C928" s="99" t="n">
        <x:v>1</x:v>
      </x:c>
      <x:c r="D928" s="99" t="str">
        <x:v>open</x:v>
      </x:c>
      <x:c r="E928" s="99" t="str">
        <x:v>/ˈəʊpən/</x:v>
      </x:c>
      <x:c r="F928" s="99" t="str">
        <x:v>开；打开</x:v>
      </x:c>
      <x:c r="G928" s="99" t="str">
        <x:v>1. open /ˈəʊpən/ 开；打开</x:v>
      </x:c>
    </x:row>
    <x:row r="929" ht="18" customHeight="1">
      <x:c r="A929" s="99" t="str">
        <x:v>O</x:v>
      </x:c>
      <x:c r="B929" s="99" t="str">
        <x:v>动词</x:v>
      </x:c>
      <x:c r="C929" s="99" t="n">
        <x:v>2</x:v>
      </x:c>
      <x:c r="D929" s="99" t="str">
        <x:v>order</x:v>
      </x:c>
      <x:c r="E929" s="99" t="str">
        <x:v>/ˈɔːdə/</x:v>
      </x:c>
      <x:c r="F929" s="99" t="str">
        <x:v>命令；订购</x:v>
      </x:c>
      <x:c r="G929" s="99" t="str">
        <x:v>2. order /ˈɔːdə/ 命令；订购</x:v>
      </x:c>
    </x:row>
    <x:row r="930" ht="18" customHeight="1">
      <x:c r="A930" s="99" t="str">
        <x:v>O</x:v>
      </x:c>
      <x:c r="B930" s="99" t="str">
        <x:v>动词</x:v>
      </x:c>
      <x:c r="C930" s="99" t="n">
        <x:v>3</x:v>
      </x:c>
      <x:c r="D930" s="99" t="str">
        <x:v>organize</x:v>
      </x:c>
      <x:c r="E930" s="99" t="str">
        <x:v>/ˈɔːɡənaɪz/</x:v>
      </x:c>
      <x:c r="F930" s="99" t="str">
        <x:v>组织；筹备</x:v>
      </x:c>
      <x:c r="G930" s="99" t="str">
        <x:v>3. organize /ˈɔːɡənaɪz/ 组织；筹备</x:v>
      </x:c>
    </x:row>
    <x:row r="931" ht="18" customHeight="1">
      <x:c r="A931" s="99" t="str">
        <x:v>O</x:v>
      </x:c>
      <x:c r="B931" s="99" t="str">
        <x:v>动词</x:v>
      </x:c>
      <x:c r="C931" s="99" t="n">
        <x:v>4</x:v>
      </x:c>
      <x:c r="D931" s="99" t="str">
        <x:v>own</x:v>
      </x:c>
      <x:c r="E931" s="99" t="str">
        <x:v>/əʊn/</x:v>
      </x:c>
      <x:c r="F931" s="99" t="str">
        <x:v>拥有</x:v>
      </x:c>
      <x:c r="G931" s="99" t="str">
        <x:v>4. own /əʊn/ 拥有</x:v>
      </x:c>
    </x:row>
    <x:row r="932" ht="18" customHeight="1">
      <x:c r="A932" s="99" t="str">
        <x:v>O</x:v>
      </x:c>
      <x:c r="B932" s="99" t="str">
        <x:v>形容词</x:v>
      </x:c>
      <x:c r="C932" s="99" t="n">
        <x:v>1</x:v>
      </x:c>
      <x:c r="D932" s="99" t="str">
        <x:v>old</x:v>
      </x:c>
      <x:c r="E932" s="99" t="str">
        <x:v>/əʊld/</x:v>
      </x:c>
      <x:c r="F932" s="99" t="str">
        <x:v>……岁的；年老的；旧的</x:v>
      </x:c>
      <x:c r="G932" s="99" t="str">
        <x:v>1. old /əʊld/ ……岁的；年老的；旧的</x:v>
      </x:c>
    </x:row>
    <x:row r="933" ht="18" customHeight="1">
      <x:c r="A933" s="99" t="str">
        <x:v>O</x:v>
      </x:c>
      <x:c r="B933" s="99" t="str">
        <x:v>形容词</x:v>
      </x:c>
      <x:c r="C933" s="99" t="n">
        <x:v>2</x:v>
      </x:c>
      <x:c r="D933" s="99" t="str">
        <x:v>open</x:v>
      </x:c>
      <x:c r="E933" s="99" t="str">
        <x:v>/ˈəʊpən/</x:v>
      </x:c>
      <x:c r="F933" s="99" t="str">
        <x:v>开着的；敞开的</x:v>
      </x:c>
      <x:c r="G933" s="99" t="str">
        <x:v>2. open /ˈəʊpən/ 开着的；敞开的</x:v>
      </x:c>
    </x:row>
    <x:row r="934" ht="18" customHeight="1">
      <x:c r="A934" s="99" t="str">
        <x:v>O</x:v>
      </x:c>
      <x:c r="B934" s="99" t="str">
        <x:v>形容词</x:v>
      </x:c>
      <x:c r="C934" s="99" t="n">
        <x:v>3</x:v>
      </x:c>
      <x:c r="D934" s="99" t="str">
        <x:v>orange</x:v>
      </x:c>
      <x:c r="E934" s="99" t="str">
        <x:v>/ˈɒrɪndʒ/</x:v>
      </x:c>
      <x:c r="F934" s="99" t="str">
        <x:v>橘黄色的；橙色的</x:v>
      </x:c>
      <x:c r="G934" s="99" t="str">
        <x:v>3. orange /ˈɒrɪndʒ/ 橘黄色的；橙色的</x:v>
      </x:c>
    </x:row>
    <x:row r="935" ht="18" customHeight="1">
      <x:c r="A935" s="99" t="str">
        <x:v>O</x:v>
      </x:c>
      <x:c r="B935" s="99" t="str">
        <x:v>形容词</x:v>
      </x:c>
      <x:c r="C935" s="99" t="n">
        <x:v>4</x:v>
      </x:c>
      <x:c r="D935" s="99" t="str">
        <x:v>other</x:v>
      </x:c>
      <x:c r="E935" s="99" t="str">
        <x:v>/ˈʌðə/</x:v>
      </x:c>
      <x:c r="F935" s="99" t="str">
        <x:v>别的；其他的</x:v>
      </x:c>
      <x:c r="G935" s="99" t="str">
        <x:v>4. other /ˈʌðə/ 别的；其他的</x:v>
      </x:c>
    </x:row>
    <x:row r="936" ht="18" customHeight="1">
      <x:c r="A936" s="99" t="str">
        <x:v>O</x:v>
      </x:c>
      <x:c r="B936" s="99" t="str">
        <x:v>形容词</x:v>
      </x:c>
      <x:c r="C936" s="99" t="n">
        <x:v>5</x:v>
      </x:c>
      <x:c r="D936" s="99" t="str">
        <x:v>our</x:v>
      </x:c>
      <x:c r="E936" s="99" t="str">
        <x:v>/ˈaʊə/</x:v>
      </x:c>
      <x:c r="F936" s="99" t="str">
        <x:v>我们的（形容词性物主代词）</x:v>
      </x:c>
      <x:c r="G936" s="99" t="str">
        <x:v>5. our /ˈaʊə/ 我们的（形容词性物主代词）</x:v>
      </x:c>
    </x:row>
    <x:row r="937" ht="18" customHeight="1">
      <x:c r="A937" s="99" t="str">
        <x:v>O</x:v>
      </x:c>
      <x:c r="B937" s="99" t="str">
        <x:v>形容词</x:v>
      </x:c>
      <x:c r="C937" s="99" t="n">
        <x:v>6</x:v>
      </x:c>
      <x:c r="D937" s="99" t="str">
        <x:v>own</x:v>
      </x:c>
      <x:c r="E937" s="99" t="str">
        <x:v>/əʊn/</x:v>
      </x:c>
      <x:c r="F937" s="99" t="str">
        <x:v>自己的</x:v>
      </x:c>
      <x:c r="G937" s="99" t="str">
        <x:v>6. own /əʊn/ 自己的</x:v>
      </x:c>
    </x:row>
    <x:row r="938" ht="18" customHeight="1">
      <x:c r="A938" s="99" t="str">
        <x:v>O</x:v>
      </x:c>
      <x:c r="B938" s="99" t="str">
        <x:v>副词</x:v>
      </x:c>
      <x:c r="C938" s="99" t="n">
        <x:v>1</x:v>
      </x:c>
      <x:c r="D938" s="99" t="str">
        <x:v>off</x:v>
      </x:c>
      <x:c r="E938" s="99" t="str">
        <x:v>/ɒf/</x:v>
      </x:c>
      <x:c r="F938" s="99" t="str">
        <x:v>离开；脱落</x:v>
      </x:c>
      <x:c r="G938" s="99" t="str">
        <x:v>1. off /ɒf/ 离开；脱落</x:v>
      </x:c>
    </x:row>
    <x:row r="939" ht="18" customHeight="1">
      <x:c r="A939" s="99" t="str">
        <x:v>O</x:v>
      </x:c>
      <x:c r="B939" s="99" t="str">
        <x:v>副词</x:v>
      </x:c>
      <x:c r="C939" s="99" t="n">
        <x:v>2</x:v>
      </x:c>
      <x:c r="D939" s="99" t="str">
        <x:v>often</x:v>
      </x:c>
      <x:c r="E939" s="99" t="str">
        <x:v>/ˈɒfn/</x:v>
      </x:c>
      <x:c r="F939" s="99" t="str">
        <x:v>经常</x:v>
      </x:c>
      <x:c r="G939" s="99" t="str">
        <x:v>2. often /ˈɒfn/ 经常</x:v>
      </x:c>
    </x:row>
    <x:row r="940" ht="18" customHeight="1">
      <x:c r="A940" s="99" t="str">
        <x:v>O</x:v>
      </x:c>
      <x:c r="B940" s="99" t="str">
        <x:v>副词</x:v>
      </x:c>
      <x:c r="C940" s="99" t="n">
        <x:v>3</x:v>
      </x:c>
      <x:c r="D940" s="99" t="str">
        <x:v>on</x:v>
      </x:c>
      <x:c r="E940" s="99" t="str">
        <x:v>/ɒn/</x:v>
      </x:c>
      <x:c r="F940" s="99" t="str">
        <x:v>（放、穿、连接）上；向前；继续</x:v>
      </x:c>
      <x:c r="G940" s="99" t="str">
        <x:v>3. on /ɒn/ （放、穿、连接）上；向前；继续</x:v>
      </x:c>
    </x:row>
    <x:row r="941" ht="18" customHeight="1">
      <x:c r="A941" s="99" t="str">
        <x:v>O</x:v>
      </x:c>
      <x:c r="B941" s="99" t="str">
        <x:v>副词</x:v>
      </x:c>
      <x:c r="C941" s="99" t="n">
        <x:v>4</x:v>
      </x:c>
      <x:c r="D941" s="99" t="str">
        <x:v>once</x:v>
      </x:c>
      <x:c r="E941" s="99" t="str">
        <x:v>/wʌns/</x:v>
      </x:c>
      <x:c r="F941" s="99" t="str">
        <x:v>一次；曾经</x:v>
      </x:c>
      <x:c r="G941" s="99" t="str">
        <x:v>4. once /wʌns/ 一次；曾经</x:v>
      </x:c>
    </x:row>
    <x:row r="942" ht="18" customHeight="1">
      <x:c r="A942" s="99" t="str">
        <x:v>O</x:v>
      </x:c>
      <x:c r="B942" s="99" t="str">
        <x:v>副词</x:v>
      </x:c>
      <x:c r="C942" s="99" t="n">
        <x:v>5</x:v>
      </x:c>
      <x:c r="D942" s="99" t="str">
        <x:v>one</x:v>
      </x:c>
      <x:c r="E942" s="99" t="str">
        <x:v>/wʌn/</x:v>
      </x:c>
      <x:c r="F942" s="99" t="str">
        <x:v>一次（兼作数词/代词）</x:v>
      </x:c>
      <x:c r="G942" s="99" t="str">
        <x:v>5. one /wʌn/ 一次（兼作数词/代词）</x:v>
      </x:c>
    </x:row>
    <x:row r="943" ht="18" customHeight="1">
      <x:c r="A943" s="99" t="str">
        <x:v>O</x:v>
      </x:c>
      <x:c r="B943" s="99" t="str">
        <x:v>副词</x:v>
      </x:c>
      <x:c r="C943" s="99" t="n">
        <x:v>6</x:v>
      </x:c>
      <x:c r="D943" s="99" t="str">
        <x:v>only</x:v>
      </x:c>
      <x:c r="E943" s="99" t="str">
        <x:v>/ˈəʊnli/</x:v>
      </x:c>
      <x:c r="F943" s="99" t="str">
        <x:v>仅仅；只</x:v>
      </x:c>
      <x:c r="G943" s="99" t="str">
        <x:v>6. only /ˈəʊnli/ 仅仅；只</x:v>
      </x:c>
    </x:row>
    <x:row r="944" ht="18" customHeight="1">
      <x:c r="A944" s="99" t="str">
        <x:v>O</x:v>
      </x:c>
      <x:c r="B944" s="99" t="str">
        <x:v>副词</x:v>
      </x:c>
      <x:c r="C944" s="99" t="n">
        <x:v>7</x:v>
      </x:c>
      <x:c r="D944" s="99" t="str">
        <x:v>out</x:v>
      </x:c>
      <x:c r="E944" s="99" t="str">
        <x:v>/aʊt/</x:v>
      </x:c>
      <x:c r="F944" s="99" t="str">
        <x:v>在外；向外</x:v>
      </x:c>
      <x:c r="G944" s="99" t="str">
        <x:v>7. out /aʊt/ 在外；向外</x:v>
      </x:c>
    </x:row>
    <x:row r="945" ht="18" customHeight="1">
      <x:c r="A945" s="99" t="str">
        <x:v>O</x:v>
      </x:c>
      <x:c r="B945" s="99" t="str">
        <x:v>副词</x:v>
      </x:c>
      <x:c r="C945" s="99" t="n">
        <x:v>8</x:v>
      </x:c>
      <x:c r="D945" s="99" t="str">
        <x:v>over</x:v>
      </x:c>
      <x:c r="E945" s="99" t="str">
        <x:v>/ˈəʊvə/</x:v>
      </x:c>
      <x:c r="F945" s="99" t="str">
        <x:v>结束；越过；从头到尾</x:v>
      </x:c>
      <x:c r="G945" s="99" t="str">
        <x:v>8. over /ˈəʊvə/ 结束；越过；从头到尾</x:v>
      </x:c>
    </x:row>
    <x:row r="946" ht="18" customHeight="1">
      <x:c r="A946" s="99" t="str">
        <x:v>O</x:v>
      </x:c>
      <x:c r="B946" s="99" t="str">
        <x:v>介词</x:v>
      </x:c>
      <x:c r="C946" s="99" t="n">
        <x:v>1</x:v>
      </x:c>
      <x:c r="D946" s="99" t="str">
        <x:v>off</x:v>
      </x:c>
      <x:c r="E946" s="99" t="str">
        <x:v>/ɒf/</x:v>
      </x:c>
      <x:c r="F946" s="99" t="str">
        <x:v>离开；脱离</x:v>
      </x:c>
      <x:c r="G946" s="99" t="str">
        <x:v>1. off /ɒf/ 离开；脱离</x:v>
      </x:c>
    </x:row>
    <x:row r="947" ht="18" customHeight="1">
      <x:c r="A947" s="99" t="str">
        <x:v>O</x:v>
      </x:c>
      <x:c r="B947" s="99" t="str">
        <x:v>介词</x:v>
      </x:c>
      <x:c r="C947" s="99" t="n">
        <x:v>2</x:v>
      </x:c>
      <x:c r="D947" s="99" t="str">
        <x:v>on</x:v>
      </x:c>
      <x:c r="E947" s="99" t="str">
        <x:v>/ɒn/</x:v>
      </x:c>
      <x:c r="F947" s="99" t="str">
        <x:v>在……上；关于</x:v>
      </x:c>
      <x:c r="G947" s="99" t="str">
        <x:v>2. on /ɒn/ 在……上；关于</x:v>
      </x:c>
    </x:row>
    <x:row r="948" ht="18" customHeight="1">
      <x:c r="A948" s="99" t="str">
        <x:v>O</x:v>
      </x:c>
      <x:c r="B948" s="99" t="str">
        <x:v>介词</x:v>
      </x:c>
      <x:c r="C948" s="99" t="n">
        <x:v>3</x:v>
      </x:c>
      <x:c r="D948" s="99" t="str">
        <x:v>over</x:v>
      </x:c>
      <x:c r="E948" s="99" t="str">
        <x:v>/ˈəʊvə/</x:v>
      </x:c>
      <x:c r="F948" s="99" t="str">
        <x:v>在……上方；越过</x:v>
      </x:c>
      <x:c r="G948" s="99" t="str">
        <x:v>3. over /ˈəʊvə/ 在……上方；越过</x:v>
      </x:c>
    </x:row>
    <x:row r="949" ht="18" customHeight="1">
      <x:c r="A949" s="99" t="str">
        <x:v>O</x:v>
      </x:c>
      <x:c r="B949" s="99" t="str">
        <x:v>介词</x:v>
      </x:c>
      <x:c r="C949" s="99" t="n">
        <x:v>4</x:v>
      </x:c>
      <x:c r="D949" s="99" t="str">
        <x:v>opposite</x:v>
      </x:c>
      <x:c r="E949" s="99" t="str">
        <x:v>/ˈɒpəzɪt/</x:v>
      </x:c>
      <x:c r="F949" s="99" t="str">
        <x:v>在……对面</x:v>
      </x:c>
      <x:c r="G949" s="99" t="str">
        <x:v>4. opposite /ˈɒpəzɪt/ 在……对面</x:v>
      </x:c>
    </x:row>
    <x:row r="950" ht="18" customHeight="1">
      <x:c r="A950" s="99" t="str">
        <x:v>O</x:v>
      </x:c>
      <x:c r="B950" s="99" t="str">
        <x:v>代词</x:v>
      </x:c>
      <x:c r="C950" s="99" t="n">
        <x:v>1</x:v>
      </x:c>
      <x:c r="D950" s="99" t="str">
        <x:v>one</x:v>
      </x:c>
      <x:c r="E950" s="99" t="str">
        <x:v>/wʌn/</x:v>
      </x:c>
      <x:c r="F950" s="99" t="str">
        <x:v>一个（人/物）</x:v>
      </x:c>
      <x:c r="G950" s="99" t="str">
        <x:v>1. one /wʌn/ 一个（人/物）</x:v>
      </x:c>
    </x:row>
    <x:row r="951" ht="18" customHeight="1">
      <x:c r="A951" s="99" t="str">
        <x:v>O</x:v>
      </x:c>
      <x:c r="B951" s="99" t="str">
        <x:v>代词</x:v>
      </x:c>
      <x:c r="C951" s="99" t="n">
        <x:v>2</x:v>
      </x:c>
      <x:c r="D951" s="99" t="str">
        <x:v>other</x:v>
      </x:c>
      <x:c r="E951" s="99" t="str">
        <x:v>/ˈʌðə/</x:v>
      </x:c>
      <x:c r="F951" s="99" t="str">
        <x:v>另一个人（或物）</x:v>
      </x:c>
      <x:c r="G951" s="99" t="str">
        <x:v>2. other /ˈʌðə/ 另一个人（或物）</x:v>
      </x:c>
    </x:row>
    <x:row r="952" ht="18" customHeight="1">
      <x:c r="A952" s="99" t="str">
        <x:v>O</x:v>
      </x:c>
      <x:c r="B952" s="99" t="str">
        <x:v>代词</x:v>
      </x:c>
      <x:c r="C952" s="99" t="n">
        <x:v>3</x:v>
      </x:c>
      <x:c r="D952" s="99" t="str">
        <x:v>our</x:v>
      </x:c>
      <x:c r="E952" s="99" t="str">
        <x:v>/ˈaʊə/</x:v>
      </x:c>
      <x:c r="F952" s="99" t="str">
        <x:v>我们的</x:v>
      </x:c>
      <x:c r="G952" s="99" t="str">
        <x:v>3. our /ˈaʊə/ 我们的</x:v>
      </x:c>
    </x:row>
    <x:row r="953" ht="18" customHeight="1">
      <x:c r="A953" s="99" t="str">
        <x:v>O</x:v>
      </x:c>
      <x:c r="B953" s="99" t="str">
        <x:v>代词</x:v>
      </x:c>
      <x:c r="C953" s="99" t="n">
        <x:v>4</x:v>
      </x:c>
      <x:c r="D953" s="99" t="str">
        <x:v>ours</x:v>
      </x:c>
      <x:c r="E953" s="99" t="str">
        <x:v>/ˈaʊəz/</x:v>
      </x:c>
      <x:c r="F953" s="99" t="str">
        <x:v>我们的</x:v>
      </x:c>
      <x:c r="G953" s="99" t="str">
        <x:v>4. ours /ˈaʊəz/ 我们的</x:v>
      </x:c>
    </x:row>
    <x:row r="954" ht="18" customHeight="1">
      <x:c r="A954" s="99" t="str">
        <x:v>O</x:v>
      </x:c>
      <x:c r="B954" s="99" t="str">
        <x:v>代词</x:v>
      </x:c>
      <x:c r="C954" s="99" t="n">
        <x:v>5</x:v>
      </x:c>
      <x:c r="D954" s="99" t="str">
        <x:v>ourselves</x:v>
      </x:c>
      <x:c r="E954" s="99" t="str">
        <x:v>/ˌaʊəˈselvz/</x:v>
      </x:c>
      <x:c r="F954" s="99" t="str">
        <x:v>我们自己</x:v>
      </x:c>
      <x:c r="G954" s="99" t="str">
        <x:v>5. ourselves /ˌaʊəˈselvz/ 我们自己</x:v>
      </x:c>
    </x:row>
    <x:row r="955" ht="18" customHeight="1">
      <x:c r="A955" s="99" t="str">
        <x:v>O</x:v>
      </x:c>
      <x:c r="B955" s="99" t="str">
        <x:v>数词</x:v>
      </x:c>
      <x:c r="C955" s="99" t="n">
        <x:v>1</x:v>
      </x:c>
      <x:c r="D955" s="99" t="str">
        <x:v>one</x:v>
      </x:c>
      <x:c r="E955" s="99" t="str">
        <x:v>/wʌn/</x:v>
      </x:c>
      <x:c r="F955" s="99" t="str">
        <x:v>一</x:v>
      </x:c>
      <x:c r="G955" s="99" t="str">
        <x:v>1. one /wʌn/ 一</x:v>
      </x:c>
    </x:row>
    <x:row r="956" ht="18" customHeight="1">
      <x:c r="A956" s="99" t="str">
        <x:v>O</x:v>
      </x:c>
      <x:c r="B956" s="99" t="str">
        <x:v>短语</x:v>
      </x:c>
      <x:c r="C956" s="99" t="n">
        <x:v>1</x:v>
      </x:c>
      <x:c r="D956" s="99" t="str">
        <x:v>how</x:v>
      </x:c>
      <x:c r="E956" s="99" t="str"/>
      <x:c r="F956" s="99" t="str">
        <x:v>old 多大；几岁</x:v>
      </x:c>
      <x:c r="G956" s="99" t="str">
        <x:v>1. how old 多大；几岁</x:v>
      </x:c>
    </x:row>
    <x:row r="957" ht="18" customHeight="1">
      <x:c r="A957" s="99" t="str">
        <x:v>O</x:v>
      </x:c>
      <x:c r="B957" s="99" t="str">
        <x:v>短语</x:v>
      </x:c>
      <x:c r="C957" s="99" t="n">
        <x:v>2</x:v>
      </x:c>
      <x:c r="D957" s="99" t="str">
        <x:v>of</x:v>
      </x:c>
      <x:c r="E957" s="99" t="str"/>
      <x:c r="F957" s="99" t="str">
        <x:v>course 当然</x:v>
      </x:c>
      <x:c r="G957" s="99" t="str">
        <x:v>2. of course 当然</x:v>
      </x:c>
    </x:row>
    <x:row r="958" ht="18" customHeight="1">
      <x:c r="A958" s="99" t="str">
        <x:v>O</x:v>
      </x:c>
      <x:c r="B958" s="99" t="str">
        <x:v>短语</x:v>
      </x:c>
      <x:c r="C958" s="99" t="n">
        <x:v>3</x:v>
      </x:c>
      <x:c r="D958" s="99" t="str">
        <x:v>once</x:v>
      </x:c>
      <x:c r="E958" s="99" t="str"/>
      <x:c r="F958" s="99" t="str">
        <x:v>a week 一周一次</x:v>
      </x:c>
      <x:c r="G958" s="99" t="str">
        <x:v>3. once a week 一周一次</x:v>
      </x:c>
    </x:row>
    <x:row r="959" ht="18" customHeight="1">
      <x:c r="A959" s="99" t="str">
        <x:v>O</x:v>
      </x:c>
      <x:c r="B959" s="99" t="str">
        <x:v>短语</x:v>
      </x:c>
      <x:c r="C959" s="99" t="n">
        <x:v>4</x:v>
      </x:c>
      <x:c r="D959" s="99" t="str">
        <x:v>one</x:v>
      </x:c>
      <x:c r="E959" s="99" t="str"/>
      <x:c r="F959" s="99" t="str">
        <x:v>day 总有一天</x:v>
      </x:c>
      <x:c r="G959" s="99" t="str">
        <x:v>4. one day 总有一天</x:v>
      </x:c>
    </x:row>
    <x:row r="960" ht="18" customHeight="1">
      <x:c r="A960" s="99" t="str">
        <x:v>O</x:v>
      </x:c>
      <x:c r="B960" s="99" t="str">
        <x:v>短语</x:v>
      </x:c>
      <x:c r="C960" s="99" t="n">
        <x:v>5</x:v>
      </x:c>
      <x:c r="D960" s="99" t="str">
        <x:v>one</x:v>
      </x:c>
      <x:c r="E960" s="99" t="str"/>
      <x:c r="F960" s="99" t="str">
        <x:v>of ……之一</x:v>
      </x:c>
      <x:c r="G960" s="99" t="str">
        <x:v>5. one of ……之一</x:v>
      </x:c>
    </x:row>
    <x:row r="961" ht="18" customHeight="1">
      <x:c r="A961" s="99" t="str">
        <x:v>O</x:v>
      </x:c>
      <x:c r="B961" s="99" t="str">
        <x:v>短语</x:v>
      </x:c>
      <x:c r="C961" s="99" t="n">
        <x:v>6</x:v>
      </x:c>
      <x:c r="D961" s="99" t="str">
        <x:v>on</x:v>
      </x:c>
      <x:c r="E961" s="99" t="str"/>
      <x:c r="F961" s="99" t="str">
        <x:v>foot 步行</x:v>
      </x:c>
      <x:c r="G961" s="99" t="str">
        <x:v>6. on foot 步行</x:v>
      </x:c>
    </x:row>
    <x:row r="962" ht="18" customHeight="1">
      <x:c r="A962" s="99" t="str">
        <x:v>O</x:v>
      </x:c>
      <x:c r="B962" s="99" t="str">
        <x:v>短语</x:v>
      </x:c>
      <x:c r="C962" s="99" t="n">
        <x:v>7</x:v>
      </x:c>
      <x:c r="D962" s="99" t="str">
        <x:v>on</x:v>
      </x:c>
      <x:c r="E962" s="99" t="str"/>
      <x:c r="F962" s="99" t="str">
        <x:v>the left 在左边</x:v>
      </x:c>
      <x:c r="G962" s="99" t="str">
        <x:v>7. on the left 在左边</x:v>
      </x:c>
    </x:row>
    <x:row r="963" ht="18" customHeight="1">
      <x:c r="A963" s="99" t="str">
        <x:v>O</x:v>
      </x:c>
      <x:c r="B963" s="99" t="str">
        <x:v>短语</x:v>
      </x:c>
      <x:c r="C963" s="99" t="n">
        <x:v>8</x:v>
      </x:c>
      <x:c r="D963" s="99" t="str">
        <x:v>on</x:v>
      </x:c>
      <x:c r="E963" s="99" t="str"/>
      <x:c r="F963" s="99" t="str">
        <x:v>the right 在右边</x:v>
      </x:c>
      <x:c r="G963" s="99" t="str">
        <x:v>8. on the right 在右边</x:v>
      </x:c>
    </x:row>
    <x:row r="964" ht="18" customHeight="1">
      <x:c r="A964" s="99" t="str">
        <x:v>O</x:v>
      </x:c>
      <x:c r="B964" s="99" t="str">
        <x:v>短语</x:v>
      </x:c>
      <x:c r="C964" s="99" t="n">
        <x:v>9</x:v>
      </x:c>
      <x:c r="D964" s="99" t="str">
        <x:v>over</x:v>
      </x:c>
      <x:c r="E964" s="99" t="str"/>
      <x:c r="F964" s="99" t="str">
        <x:v>there 在那边</x:v>
      </x:c>
      <x:c r="G964" s="99" t="str">
        <x:v>9. over there 在那边</x:v>
      </x:c>
    </x:row>
    <x:row r="965" ht="18" customHeight="1">
      <x:c r="A965" s="99" t="str">
        <x:v>O</x:v>
      </x:c>
      <x:c r="B965" s="99" t="str">
        <x:v>短语</x:v>
      </x:c>
      <x:c r="C965" s="99" t="n">
        <x:v>10</x:v>
      </x:c>
      <x:c r="D965" s="99" t="str">
        <x:v>put</x:v>
      </x:c>
      <x:c r="E965" s="99" t="str"/>
      <x:c r="F965" s="99" t="str">
        <x:v>on 穿上；上演（注：P开头短语，此处补充）</x:v>
      </x:c>
      <x:c r="G965" s="99" t="str">
        <x:v>10. put on 穿上；上演（注：P开头短语，此处补充）</x:v>
      </x:c>
    </x:row>
    <x:row r="966" ht="18" customHeight="1">
      <x:c r="A966" s="99" t="str">
        <x:v>P</x:v>
      </x:c>
      <x:c r="B966" s="99" t="str">
        <x:v>名词</x:v>
      </x:c>
      <x:c r="C966" s="99" t="n">
        <x:v>1</x:v>
      </x:c>
      <x:c r="D966" s="99" t="str">
        <x:v>Pacific</x:v>
      </x:c>
      <x:c r="E966" s="99" t="str">
        <x:v>/pəˈsɪfɪk/</x:v>
      </x:c>
      <x:c r="F966" s="99" t="str">
        <x:v>太平洋</x:v>
      </x:c>
      <x:c r="G966" s="99" t="str">
        <x:v>1. Pacific /pəˈsɪfɪk/ 太平洋</x:v>
      </x:c>
    </x:row>
    <x:row r="967" ht="18" customHeight="1">
      <x:c r="A967" s="99" t="str">
        <x:v>P</x:v>
      </x:c>
      <x:c r="B967" s="99" t="str">
        <x:v>名词</x:v>
      </x:c>
      <x:c r="C967" s="99" t="n">
        <x:v>2</x:v>
      </x:c>
      <x:c r="D967" s="99" t="str">
        <x:v>page</x:v>
      </x:c>
      <x:c r="E967" s="99" t="str">
        <x:v>/peɪdʒ/</x:v>
      </x:c>
      <x:c r="F967" s="99" t="str">
        <x:v>页；页码</x:v>
      </x:c>
      <x:c r="G967" s="99" t="str">
        <x:v>2. page /peɪdʒ/ 页；页码</x:v>
      </x:c>
    </x:row>
    <x:row r="968" ht="18" customHeight="1">
      <x:c r="A968" s="99" t="str">
        <x:v>P</x:v>
      </x:c>
      <x:c r="B968" s="99" t="str">
        <x:v>名词</x:v>
      </x:c>
      <x:c r="C968" s="99" t="n">
        <x:v>3</x:v>
      </x:c>
      <x:c r="D968" s="99" t="str">
        <x:v>pain</x:v>
      </x:c>
      <x:c r="E968" s="99" t="str">
        <x:v>/peɪn/</x:v>
      </x:c>
      <x:c r="F968" s="99" t="str">
        <x:v>痛；疼痛</x:v>
      </x:c>
      <x:c r="G968" s="99" t="str">
        <x:v>3. pain /peɪn/ 痛；疼痛</x:v>
      </x:c>
    </x:row>
    <x:row r="969" ht="18" customHeight="1">
      <x:c r="A969" s="99" t="str">
        <x:v>P</x:v>
      </x:c>
      <x:c r="B969" s="99" t="str">
        <x:v>名词</x:v>
      </x:c>
      <x:c r="C969" s="99" t="n">
        <x:v>4</x:v>
      </x:c>
      <x:c r="D969" s="99" t="str">
        <x:v>paint</x:v>
      </x:c>
      <x:c r="E969" s="99" t="str">
        <x:v>/peɪnt/</x:v>
      </x:c>
      <x:c r="F969" s="99" t="str">
        <x:v>油漆；颜料</x:v>
      </x:c>
      <x:c r="G969" s="99" t="str">
        <x:v>4. paint /peɪnt/ 油漆；颜料</x:v>
      </x:c>
    </x:row>
    <x:row r="970" ht="18" customHeight="1">
      <x:c r="A970" s="99" t="str">
        <x:v>P</x:v>
      </x:c>
      <x:c r="B970" s="99" t="str">
        <x:v>名词</x:v>
      </x:c>
      <x:c r="C970" s="99" t="n">
        <x:v>5</x:v>
      </x:c>
      <x:c r="D970" s="99" t="str">
        <x:v>palace</x:v>
      </x:c>
      <x:c r="E970" s="99" t="str">
        <x:v>/ˈpæləs/</x:v>
      </x:c>
      <x:c r="F970" s="99" t="str">
        <x:v>宫殿</x:v>
      </x:c>
      <x:c r="G970" s="99" t="str">
        <x:v>5. palace /ˈpæləs/ 宫殿</x:v>
      </x:c>
    </x:row>
    <x:row r="971" ht="18" customHeight="1">
      <x:c r="A971" s="99" t="str">
        <x:v>P</x:v>
      </x:c>
      <x:c r="B971" s="99" t="str">
        <x:v>名词</x:v>
      </x:c>
      <x:c r="C971" s="99" t="n">
        <x:v>6</x:v>
      </x:c>
      <x:c r="D971" s="99" t="str">
        <x:v>panda</x:v>
      </x:c>
      <x:c r="E971" s="99" t="str">
        <x:v>/ˈpændə/</x:v>
      </x:c>
      <x:c r="F971" s="99" t="str">
        <x:v>熊猫</x:v>
      </x:c>
      <x:c r="G971" s="99" t="str">
        <x:v>6. panda /ˈpændə/ 熊猫</x:v>
      </x:c>
    </x:row>
    <x:row r="972" ht="18" customHeight="1">
      <x:c r="A972" s="99" t="str">
        <x:v>P</x:v>
      </x:c>
      <x:c r="B972" s="99" t="str">
        <x:v>名词</x:v>
      </x:c>
      <x:c r="C972" s="99" t="n">
        <x:v>7</x:v>
      </x:c>
      <x:c r="D972" s="99" t="str">
        <x:v>paper</x:v>
      </x:c>
      <x:c r="E972" s="99" t="str">
        <x:v>/ˈpeɪpə/</x:v>
      </x:c>
      <x:c r="F972" s="99" t="str">
        <x:v>纸；纸张</x:v>
      </x:c>
      <x:c r="G972" s="99" t="str">
        <x:v>7. paper /ˈpeɪpə/ 纸；纸张</x:v>
      </x:c>
    </x:row>
    <x:row r="973" ht="18" customHeight="1">
      <x:c r="A973" s="99" t="str">
        <x:v>P</x:v>
      </x:c>
      <x:c r="B973" s="99" t="str">
        <x:v>名词</x:v>
      </x:c>
      <x:c r="C973" s="99" t="n">
        <x:v>8</x:v>
      </x:c>
      <x:c r="D973" s="99" t="str">
        <x:v>parent</x:v>
      </x:c>
      <x:c r="E973" s="99" t="str">
        <x:v>/ˈpeərənt/</x:v>
      </x:c>
      <x:c r="F973" s="99" t="str">
        <x:v>母亲；父亲</x:v>
      </x:c>
      <x:c r="G973" s="99" t="str">
        <x:v>8. parent /ˈpeərənt/ 母亲；父亲</x:v>
      </x:c>
    </x:row>
    <x:row r="974" ht="18" customHeight="1">
      <x:c r="A974" s="99" t="str">
        <x:v>P</x:v>
      </x:c>
      <x:c r="B974" s="99" t="str">
        <x:v>名词</x:v>
      </x:c>
      <x:c r="C974" s="99" t="n">
        <x:v>9</x:v>
      </x:c>
      <x:c r="D974" s="99" t="str">
        <x:v>park</x:v>
      </x:c>
      <x:c r="E974" s="99" t="str">
        <x:v>/pɑːk/</x:v>
      </x:c>
      <x:c r="F974" s="99" t="str">
        <x:v>公园</x:v>
      </x:c>
      <x:c r="G974" s="99" t="str">
        <x:v>9. park /pɑːk/ 公园</x:v>
      </x:c>
    </x:row>
    <x:row r="975" ht="18" customHeight="1">
      <x:c r="A975" s="99" t="str">
        <x:v>P</x:v>
      </x:c>
      <x:c r="B975" s="99" t="str">
        <x:v>名词</x:v>
      </x:c>
      <x:c r="C975" s="99" t="n">
        <x:v>10</x:v>
      </x:c>
      <x:c r="D975" s="99" t="str">
        <x:v>part</x:v>
      </x:c>
      <x:c r="E975" s="99" t="str">
        <x:v>/pɑːt/</x:v>
      </x:c>
      <x:c r="F975" s="99" t="str">
        <x:v>部分；地区；地方</x:v>
      </x:c>
      <x:c r="G975" s="99" t="str">
        <x:v>10. part /pɑːt/ 部分；地区；地方</x:v>
      </x:c>
    </x:row>
    <x:row r="976" ht="18" customHeight="1">
      <x:c r="A976" s="99" t="str">
        <x:v>P</x:v>
      </x:c>
      <x:c r="B976" s="99" t="str">
        <x:v>名词</x:v>
      </x:c>
      <x:c r="C976" s="99" t="n">
        <x:v>11</x:v>
      </x:c>
      <x:c r="D976" s="99" t="str">
        <x:v>party</x:v>
      </x:c>
      <x:c r="E976" s="99" t="str">
        <x:v>/ˈpɑːti/</x:v>
      </x:c>
      <x:c r="F976" s="99" t="str">
        <x:v>晚会；聚会</x:v>
      </x:c>
      <x:c r="G976" s="99" t="str">
        <x:v>11. party /ˈpɑːti/ 晚会；聚会</x:v>
      </x:c>
    </x:row>
    <x:row r="977" ht="18" customHeight="1">
      <x:c r="A977" s="99" t="str">
        <x:v>P</x:v>
      </x:c>
      <x:c r="B977" s="99" t="str">
        <x:v>名词</x:v>
      </x:c>
      <x:c r="C977" s="99" t="n">
        <x:v>12</x:v>
      </x:c>
      <x:c r="D977" s="99" t="str">
        <x:v>pass</x:v>
      </x:c>
      <x:c r="E977" s="99" t="str">
        <x:v>/pɑːs/</x:v>
      </x:c>
      <x:c r="F977" s="99" t="str">
        <x:v>通行证；及格</x:v>
      </x:c>
      <x:c r="G977" s="99" t="str">
        <x:v>12. pass /pɑːs/ 通行证；及格</x:v>
      </x:c>
    </x:row>
    <x:row r="978" ht="18" customHeight="1">
      <x:c r="A978" s="99" t="str">
        <x:v>P</x:v>
      </x:c>
      <x:c r="B978" s="99" t="str">
        <x:v>名词</x:v>
      </x:c>
      <x:c r="C978" s="99" t="n">
        <x:v>13</x:v>
      </x:c>
      <x:c r="D978" s="99" t="str">
        <x:v>passenger</x:v>
      </x:c>
      <x:c r="E978" s="99" t="str">
        <x:v>/ˈpæsɪndʒə/</x:v>
      </x:c>
      <x:c r="F978" s="99" t="str">
        <x:v>乘客；旅客</x:v>
      </x:c>
      <x:c r="G978" s="99" t="str">
        <x:v>13. passenger /ˈpæsɪndʒə/ 乘客；旅客</x:v>
      </x:c>
    </x:row>
    <x:row r="979" ht="18" customHeight="1">
      <x:c r="A979" s="99" t="str">
        <x:v>P</x:v>
      </x:c>
      <x:c r="B979" s="99" t="str">
        <x:v>名词</x:v>
      </x:c>
      <x:c r="C979" s="99" t="n">
        <x:v>14</x:v>
      </x:c>
      <x:c r="D979" s="99" t="str">
        <x:v>passport</x:v>
      </x:c>
      <x:c r="E979" s="99" t="str">
        <x:v>/ˈpɑːspɔːt/</x:v>
      </x:c>
      <x:c r="F979" s="99" t="str">
        <x:v>护照</x:v>
      </x:c>
      <x:c r="G979" s="99" t="str">
        <x:v>14. passport /ˈpɑːspɔːt/ 护照</x:v>
      </x:c>
    </x:row>
    <x:row r="980" ht="18" customHeight="1">
      <x:c r="A980" s="99" t="str">
        <x:v>P</x:v>
      </x:c>
      <x:c r="B980" s="99" t="str">
        <x:v>名词</x:v>
      </x:c>
      <x:c r="C980" s="99" t="n">
        <x:v>15</x:v>
      </x:c>
      <x:c r="D980" s="99" t="str">
        <x:v>past</x:v>
      </x:c>
      <x:c r="E980" s="99" t="str">
        <x:v>/pɑːst/</x:v>
      </x:c>
      <x:c r="F980" s="99" t="str">
        <x:v>过去；昔日</x:v>
      </x:c>
      <x:c r="G980" s="99" t="str">
        <x:v>15. past /pɑːst/ 过去；昔日</x:v>
      </x:c>
    </x:row>
    <x:row r="981" ht="18" customHeight="1">
      <x:c r="A981" s="99" t="str">
        <x:v>P</x:v>
      </x:c>
      <x:c r="B981" s="99" t="str">
        <x:v>名词</x:v>
      </x:c>
      <x:c r="C981" s="99" t="n">
        <x:v>16</x:v>
      </x:c>
      <x:c r="D981" s="99" t="str">
        <x:v>patient</x:v>
      </x:c>
      <x:c r="E981" s="99" t="str">
        <x:v>/ˈpeɪʃnt/</x:v>
      </x:c>
      <x:c r="F981" s="99" t="str">
        <x:v>病人</x:v>
      </x:c>
      <x:c r="G981" s="99" t="str">
        <x:v>16. patient /ˈpeɪʃnt/ 病人</x:v>
      </x:c>
    </x:row>
    <x:row r="982" ht="18" customHeight="1">
      <x:c r="A982" s="99" t="str">
        <x:v>P</x:v>
      </x:c>
      <x:c r="B982" s="99" t="str">
        <x:v>名词</x:v>
      </x:c>
      <x:c r="C982" s="99" t="n">
        <x:v>17</x:v>
      </x:c>
      <x:c r="D982" s="99" t="str">
        <x:v>pay</x:v>
      </x:c>
      <x:c r="E982" s="99" t="str">
        <x:v>/peɪ/</x:v>
      </x:c>
      <x:c r="F982" s="99" t="str">
        <x:v>工资；报酬</x:v>
      </x:c>
      <x:c r="G982" s="99" t="str">
        <x:v>17. pay /peɪ/ 工资；报酬</x:v>
      </x:c>
    </x:row>
    <x:row r="983" ht="18" customHeight="1">
      <x:c r="A983" s="99" t="str">
        <x:v>P</x:v>
      </x:c>
      <x:c r="B983" s="99" t="str">
        <x:v>名词</x:v>
      </x:c>
      <x:c r="C983" s="99" t="n">
        <x:v>18</x:v>
      </x:c>
      <x:c r="D983" s="99" t="str">
        <x:v>PE</x:v>
      </x:c>
      <x:c r="E983" s="99" t="str"/>
      <x:c r="F983" s="99" t="str">
        <x:v>(= physical education) 体育</x:v>
      </x:c>
      <x:c r="G983" s="99" t="str">
        <x:v>18. PE (= physical education) 体育</x:v>
      </x:c>
    </x:row>
    <x:row r="984" ht="18" customHeight="1">
      <x:c r="A984" s="99" t="str">
        <x:v>P</x:v>
      </x:c>
      <x:c r="B984" s="99" t="str">
        <x:v>名词</x:v>
      </x:c>
      <x:c r="C984" s="99" t="n">
        <x:v>19</x:v>
      </x:c>
      <x:c r="D984" s="99" t="str">
        <x:v>peace</x:v>
      </x:c>
      <x:c r="E984" s="99" t="str">
        <x:v>/piːs/</x:v>
      </x:c>
      <x:c r="F984" s="99" t="str">
        <x:v>和平</x:v>
      </x:c>
      <x:c r="G984" s="99" t="str">
        <x:v>19. peace /piːs/ 和平</x:v>
      </x:c>
    </x:row>
    <x:row r="985" ht="18" customHeight="1">
      <x:c r="A985" s="99" t="str">
        <x:v>P</x:v>
      </x:c>
      <x:c r="B985" s="99" t="str">
        <x:v>名词</x:v>
      </x:c>
      <x:c r="C985" s="99" t="n">
        <x:v>20</x:v>
      </x:c>
      <x:c r="D985" s="99" t="str">
        <x:v>pear</x:v>
      </x:c>
      <x:c r="E985" s="99" t="str">
        <x:v>/peə/</x:v>
      </x:c>
      <x:c r="F985" s="99" t="str">
        <x:v>梨</x:v>
      </x:c>
      <x:c r="G985" s="99" t="str">
        <x:v>20. pear /peə/ 梨</x:v>
      </x:c>
    </x:row>
    <x:row r="986" ht="18" customHeight="1">
      <x:c r="A986" s="99" t="str">
        <x:v>P</x:v>
      </x:c>
      <x:c r="B986" s="99" t="str">
        <x:v>名词</x:v>
      </x:c>
      <x:c r="C986" s="99" t="n">
        <x:v>21</x:v>
      </x:c>
      <x:c r="D986" s="99" t="str">
        <x:v>pen</x:v>
      </x:c>
      <x:c r="E986" s="99" t="str">
        <x:v>/pen/</x:v>
      </x:c>
      <x:c r="F986" s="99" t="str">
        <x:v>笔；钢笔</x:v>
      </x:c>
      <x:c r="G986" s="99" t="str">
        <x:v>21. pen /pen/ 笔；钢笔</x:v>
      </x:c>
    </x:row>
    <x:row r="987" ht="18" customHeight="1">
      <x:c r="A987" s="99" t="str">
        <x:v>P</x:v>
      </x:c>
      <x:c r="B987" s="99" t="str">
        <x:v>名词</x:v>
      </x:c>
      <x:c r="C987" s="99" t="n">
        <x:v>22</x:v>
      </x:c>
      <x:c r="D987" s="99" t="str">
        <x:v>pencil</x:v>
      </x:c>
      <x:c r="E987" s="99" t="str">
        <x:v>/ˈpensl/</x:v>
      </x:c>
      <x:c r="F987" s="99" t="str">
        <x:v>铅笔</x:v>
      </x:c>
      <x:c r="G987" s="99" t="str">
        <x:v>22. pencil /ˈpensl/ 铅笔</x:v>
      </x:c>
    </x:row>
    <x:row r="988" ht="18" customHeight="1">
      <x:c r="A988" s="99" t="str">
        <x:v>P</x:v>
      </x:c>
      <x:c r="B988" s="99" t="str">
        <x:v>名词</x:v>
      </x:c>
      <x:c r="C988" s="99" t="n">
        <x:v>23</x:v>
      </x:c>
      <x:c r="D988" s="99" t="str">
        <x:v>people</x:v>
      </x:c>
      <x:c r="E988" s="99" t="str">
        <x:v>/ˈpiːpl/</x:v>
      </x:c>
      <x:c r="F988" s="99" t="str">
        <x:v>人；人们</x:v>
      </x:c>
      <x:c r="G988" s="99" t="str">
        <x:v>23. people /ˈpiːpl/ 人；人们</x:v>
      </x:c>
    </x:row>
    <x:row r="989" ht="18" customHeight="1">
      <x:c r="A989" s="99" t="str">
        <x:v>P</x:v>
      </x:c>
      <x:c r="B989" s="99" t="str">
        <x:v>名词</x:v>
      </x:c>
      <x:c r="C989" s="99" t="n">
        <x:v>24</x:v>
      </x:c>
      <x:c r="D989" s="99" t="str">
        <x:v>pepper</x:v>
      </x:c>
      <x:c r="E989" s="99" t="str">
        <x:v>/ˈpepə/</x:v>
      </x:c>
      <x:c r="F989" s="99" t="str">
        <x:v>胡椒粉</x:v>
      </x:c>
      <x:c r="G989" s="99" t="str">
        <x:v>24. pepper /ˈpepə/ 胡椒粉</x:v>
      </x:c>
    </x:row>
    <x:row r="990" ht="18" customHeight="1">
      <x:c r="A990" s="99" t="str">
        <x:v>P</x:v>
      </x:c>
      <x:c r="B990" s="99" t="str">
        <x:v>名词</x:v>
      </x:c>
      <x:c r="C990" s="99" t="n">
        <x:v>25</x:v>
      </x:c>
      <x:c r="D990" s="99" t="str">
        <x:v>per</x:v>
      </x:c>
      <x:c r="E990" s="99" t="str">
        <x:v>/pɜː/</x:v>
      </x:c>
      <x:c r="F990" s="99" t="str">
        <x:v>每；每一</x:v>
      </x:c>
      <x:c r="G990" s="99" t="str">
        <x:v>25. per /pɜː/ 每；每一</x:v>
      </x:c>
    </x:row>
    <x:row r="991" ht="18" customHeight="1">
      <x:c r="A991" s="99" t="str">
        <x:v>P</x:v>
      </x:c>
      <x:c r="B991" s="99" t="str">
        <x:v>名词</x:v>
      </x:c>
      <x:c r="C991" s="99" t="n">
        <x:v>26</x:v>
      </x:c>
      <x:c r="D991" s="99" t="str">
        <x:v>perfect</x:v>
      </x:c>
      <x:c r="E991" s="99" t="str">
        <x:v>/ˈpɜːfɪkt/</x:v>
      </x:c>
      <x:c r="F991" s="99" t="str">
        <x:v>完美的人/物（兼作形容词）</x:v>
      </x:c>
      <x:c r="G991" s="99" t="str">
        <x:v>26. perfect /ˈpɜːfɪkt/ 完美的人/物（兼作形容词）</x:v>
      </x:c>
    </x:row>
    <x:row r="992" ht="18" customHeight="1">
      <x:c r="A992" s="99" t="str">
        <x:v>P</x:v>
      </x:c>
      <x:c r="B992" s="99" t="str">
        <x:v>名词</x:v>
      </x:c>
      <x:c r="C992" s="99" t="n">
        <x:v>27</x:v>
      </x:c>
      <x:c r="D992" s="99" t="str">
        <x:v>performance</x:v>
      </x:c>
      <x:c r="E992" s="99" t="str">
        <x:v>/pəˈfɔːməns/</x:v>
      </x:c>
      <x:c r="F992" s="99" t="str">
        <x:v>表演；演出</x:v>
      </x:c>
      <x:c r="G992" s="99" t="str">
        <x:v>27. performance /pəˈfɔːməns/ 表演；演出</x:v>
      </x:c>
    </x:row>
    <x:row r="993" ht="18" customHeight="1">
      <x:c r="A993" s="99" t="str">
        <x:v>P</x:v>
      </x:c>
      <x:c r="B993" s="99" t="str">
        <x:v>名词</x:v>
      </x:c>
      <x:c r="C993" s="99" t="n">
        <x:v>28</x:v>
      </x:c>
      <x:c r="D993" s="99" t="str">
        <x:v>period</x:v>
      </x:c>
      <x:c r="E993" s="99" t="str">
        <x:v>/ˈpɪəriəd/</x:v>
      </x:c>
      <x:c r="F993" s="99" t="str">
        <x:v>时期；阶段</x:v>
      </x:c>
      <x:c r="G993" s="99" t="str">
        <x:v>28. period /ˈpɪəriəd/ 时期；阶段</x:v>
      </x:c>
    </x:row>
    <x:row r="994" ht="18" customHeight="1">
      <x:c r="A994" s="99" t="str">
        <x:v>P</x:v>
      </x:c>
      <x:c r="B994" s="99" t="str">
        <x:v>名词</x:v>
      </x:c>
      <x:c r="C994" s="99" t="n">
        <x:v>29</x:v>
      </x:c>
      <x:c r="D994" s="99" t="str">
        <x:v>person</x:v>
      </x:c>
      <x:c r="E994" s="99" t="str">
        <x:v>/ˈpɜːsn/</x:v>
      </x:c>
      <x:c r="F994" s="99" t="str">
        <x:v>人</x:v>
      </x:c>
      <x:c r="G994" s="99" t="str">
        <x:v>29. person /ˈpɜːsn/ 人</x:v>
      </x:c>
    </x:row>
    <x:row r="995" ht="18" customHeight="1">
      <x:c r="A995" s="99" t="str">
        <x:v>P</x:v>
      </x:c>
      <x:c r="B995" s="99" t="str">
        <x:v>名词</x:v>
      </x:c>
      <x:c r="C995" s="99" t="n">
        <x:v>30</x:v>
      </x:c>
      <x:c r="D995" s="99" t="str">
        <x:v>pet</x:v>
      </x:c>
      <x:c r="E995" s="99" t="str">
        <x:v>/pet/</x:v>
      </x:c>
      <x:c r="F995" s="99" t="str">
        <x:v>宠物；宠儿</x:v>
      </x:c>
      <x:c r="G995" s="99" t="str">
        <x:v>30. pet /pet/ 宠物；宠儿</x:v>
      </x:c>
    </x:row>
    <x:row r="996" ht="18" customHeight="1">
      <x:c r="A996" s="99" t="str">
        <x:v>P</x:v>
      </x:c>
      <x:c r="B996" s="99" t="str">
        <x:v>名词</x:v>
      </x:c>
      <x:c r="C996" s="99" t="n">
        <x:v>31</x:v>
      </x:c>
      <x:c r="D996" s="99" t="str">
        <x:v>phone</x:v>
      </x:c>
      <x:c r="E996" s="99" t="str">
        <x:v>/fəʊn/</x:v>
      </x:c>
      <x:c r="F996" s="99" t="str">
        <x:v>电话；电话机</x:v>
      </x:c>
      <x:c r="G996" s="99" t="str">
        <x:v>31. phone /fəʊn/ 电话；电话机</x:v>
      </x:c>
    </x:row>
    <x:row r="997" ht="18" customHeight="1">
      <x:c r="A997" s="99" t="str">
        <x:v>P</x:v>
      </x:c>
      <x:c r="B997" s="99" t="str">
        <x:v>名词</x:v>
      </x:c>
      <x:c r="C997" s="99" t="n">
        <x:v>32</x:v>
      </x:c>
      <x:c r="D997" s="99" t="str">
        <x:v>photo</x:v>
      </x:c>
      <x:c r="E997" s="99" t="str">
        <x:v>/ˈfəʊtəʊ/</x:v>
      </x:c>
      <x:c r="F997" s="99" t="str">
        <x:v>照片；相片</x:v>
      </x:c>
      <x:c r="G997" s="99" t="str">
        <x:v>32. photo /ˈfəʊtəʊ/ 照片；相片</x:v>
      </x:c>
    </x:row>
    <x:row r="998" ht="18" customHeight="1">
      <x:c r="A998" s="99" t="str">
        <x:v>P</x:v>
      </x:c>
      <x:c r="B998" s="99" t="str">
        <x:v>名词</x:v>
      </x:c>
      <x:c r="C998" s="99" t="n">
        <x:v>33</x:v>
      </x:c>
      <x:c r="D998" s="99" t="str">
        <x:v>piano</x:v>
      </x:c>
      <x:c r="E998" s="99" t="str">
        <x:v>/piˈænəʊ/</x:v>
      </x:c>
      <x:c r="F998" s="99" t="str">
        <x:v>钢琴</x:v>
      </x:c>
      <x:c r="G998" s="99" t="str">
        <x:v>33. piano /piˈænəʊ/ 钢琴</x:v>
      </x:c>
    </x:row>
    <x:row r="999" ht="18" customHeight="1">
      <x:c r="A999" s="99" t="str">
        <x:v>P</x:v>
      </x:c>
      <x:c r="B999" s="99" t="str">
        <x:v>名词</x:v>
      </x:c>
      <x:c r="C999" s="99" t="n">
        <x:v>34</x:v>
      </x:c>
      <x:c r="D999" s="99" t="str">
        <x:v>picnic</x:v>
      </x:c>
      <x:c r="E999" s="99" t="str">
        <x:v>/ˈpɪknɪk/</x:v>
      </x:c>
      <x:c r="F999" s="99" t="str">
        <x:v>野餐</x:v>
      </x:c>
      <x:c r="G999" s="99" t="str">
        <x:v>34. picnic /ˈpɪknɪk/ 野餐</x:v>
      </x:c>
    </x:row>
    <x:row r="1000" ht="18" customHeight="1">
      <x:c r="A1000" s="99" t="str">
        <x:v>P</x:v>
      </x:c>
      <x:c r="B1000" s="99" t="str">
        <x:v>名词</x:v>
      </x:c>
      <x:c r="C1000" s="99" t="n">
        <x:v>35</x:v>
      </x:c>
      <x:c r="D1000" s="99" t="str">
        <x:v>picture</x:v>
      </x:c>
      <x:c r="E1000" s="99" t="str">
        <x:v>/ˈpɪktʃə/</x:v>
      </x:c>
      <x:c r="F1000" s="99" t="str">
        <x:v>图片；照片</x:v>
      </x:c>
      <x:c r="G1000" s="99" t="str">
        <x:v>35. picture /ˈpɪktʃə/ 图片；照片</x:v>
      </x:c>
    </x:row>
    <x:row r="1001" ht="18" customHeight="1">
      <x:c r="A1001" s="99" t="str">
        <x:v>P</x:v>
      </x:c>
      <x:c r="B1001" s="99" t="str">
        <x:v>名词</x:v>
      </x:c>
      <x:c r="C1001" s="99" t="n">
        <x:v>36</x:v>
      </x:c>
      <x:c r="D1001" s="99" t="str">
        <x:v>piece</x:v>
      </x:c>
      <x:c r="E1001" s="99" t="str">
        <x:v>/piːs/</x:v>
      </x:c>
      <x:c r="F1001" s="99" t="str">
        <x:v>片；块；件；个；张</x:v>
      </x:c>
      <x:c r="G1001" s="99" t="str">
        <x:v>36. piece /piːs/ 片；块；件；个；张</x:v>
      </x:c>
    </x:row>
    <x:row r="1002" ht="18" customHeight="1">
      <x:c r="A1002" s="99" t="str">
        <x:v>P</x:v>
      </x:c>
      <x:c r="B1002" s="99" t="str">
        <x:v>名词</x:v>
      </x:c>
      <x:c r="C1002" s="99" t="n">
        <x:v>37</x:v>
      </x:c>
      <x:c r="D1002" s="99" t="str">
        <x:v>pig</x:v>
      </x:c>
      <x:c r="E1002" s="99" t="str">
        <x:v>/pɪɡ/</x:v>
      </x:c>
      <x:c r="F1002" s="99" t="str">
        <x:v>猪</x:v>
      </x:c>
      <x:c r="G1002" s="99" t="str">
        <x:v>37. pig /pɪɡ/ 猪</x:v>
      </x:c>
    </x:row>
    <x:row r="1003" ht="18" customHeight="1">
      <x:c r="A1003" s="99" t="str">
        <x:v>P</x:v>
      </x:c>
      <x:c r="B1003" s="99" t="str">
        <x:v>名词</x:v>
      </x:c>
      <x:c r="C1003" s="99" t="n">
        <x:v>38</x:v>
      </x:c>
      <x:c r="D1003" s="99" t="str">
        <x:v>pilot</x:v>
      </x:c>
      <x:c r="E1003" s="99" t="str">
        <x:v>/ˈpaɪlət/</x:v>
      </x:c>
      <x:c r="F1003" s="99" t="str">
        <x:v>飞行员</x:v>
      </x:c>
      <x:c r="G1003" s="99" t="str">
        <x:v>38. pilot /ˈpaɪlət/ 飞行员</x:v>
      </x:c>
    </x:row>
    <x:row r="1004" ht="18" customHeight="1">
      <x:c r="A1004" s="99" t="str">
        <x:v>P</x:v>
      </x:c>
      <x:c r="B1004" s="99" t="str">
        <x:v>名词</x:v>
      </x:c>
      <x:c r="C1004" s="99" t="n">
        <x:v>39</x:v>
      </x:c>
      <x:c r="D1004" s="99" t="str">
        <x:v>ping-pong</x:v>
      </x:c>
      <x:c r="E1004" s="99" t="str">
        <x:v>/ˈpɪŋ pɒŋ/</x:v>
      </x:c>
      <x:c r="F1004" s="99" t="str">
        <x:v>乒乓球</x:v>
      </x:c>
      <x:c r="G1004" s="99" t="str">
        <x:v>39. ping-pong /ˈpɪŋ pɒŋ/ 乒乓球</x:v>
      </x:c>
    </x:row>
    <x:row r="1005" ht="18" customHeight="1">
      <x:c r="A1005" s="99" t="str">
        <x:v>P</x:v>
      </x:c>
      <x:c r="B1005" s="99" t="str">
        <x:v>名词</x:v>
      </x:c>
      <x:c r="C1005" s="99" t="n">
        <x:v>40</x:v>
      </x:c>
      <x:c r="D1005" s="99" t="str">
        <x:v>pizza</x:v>
      </x:c>
      <x:c r="E1005" s="99" t="str">
        <x:v>/ˈpiːtsə/</x:v>
      </x:c>
      <x:c r="F1005" s="99" t="str">
        <x:v>比萨饼</x:v>
      </x:c>
      <x:c r="G1005" s="99" t="str">
        <x:v>40. pizza /ˈpiːtsə/ 比萨饼</x:v>
      </x:c>
    </x:row>
    <x:row r="1006" ht="18" customHeight="1">
      <x:c r="A1006" s="99" t="str">
        <x:v>P</x:v>
      </x:c>
      <x:c r="B1006" s="99" t="str">
        <x:v>名词</x:v>
      </x:c>
      <x:c r="C1006" s="99" t="n">
        <x:v>41</x:v>
      </x:c>
      <x:c r="D1006" s="99" t="str">
        <x:v>place</x:v>
      </x:c>
      <x:c r="E1006" s="99" t="str">
        <x:v>/pleɪs/</x:v>
      </x:c>
      <x:c r="F1006" s="99" t="str">
        <x:v>地方；地点</x:v>
      </x:c>
      <x:c r="G1006" s="99" t="str">
        <x:v>41. place /pleɪs/ 地方；地点</x:v>
      </x:c>
    </x:row>
    <x:row r="1007" ht="18" customHeight="1">
      <x:c r="A1007" s="99" t="str">
        <x:v>P</x:v>
      </x:c>
      <x:c r="B1007" s="99" t="str">
        <x:v>名词</x:v>
      </x:c>
      <x:c r="C1007" s="99" t="n">
        <x:v>42</x:v>
      </x:c>
      <x:c r="D1007" s="99" t="str">
        <x:v>plane</x:v>
      </x:c>
      <x:c r="E1007" s="99" t="str">
        <x:v>/pleɪn/</x:v>
      </x:c>
      <x:c r="F1007" s="99" t="str">
        <x:v>飞机</x:v>
      </x:c>
      <x:c r="G1007" s="99" t="str">
        <x:v>42. plane /pleɪn/ 飞机</x:v>
      </x:c>
    </x:row>
    <x:row r="1008" ht="18" customHeight="1">
      <x:c r="A1008" s="99" t="str">
        <x:v>P</x:v>
      </x:c>
      <x:c r="B1008" s="99" t="str">
        <x:v>名词</x:v>
      </x:c>
      <x:c r="C1008" s="99" t="n">
        <x:v>43</x:v>
      </x:c>
      <x:c r="D1008" s="99" t="str">
        <x:v>planet</x:v>
      </x:c>
      <x:c r="E1008" s="99" t="str">
        <x:v>/ˈplænɪt/</x:v>
      </x:c>
      <x:c r="F1008" s="99" t="str">
        <x:v>行星</x:v>
      </x:c>
      <x:c r="G1008" s="99" t="str">
        <x:v>43. planet /ˈplænɪt/ 行星</x:v>
      </x:c>
    </x:row>
    <x:row r="1009" ht="18" customHeight="1">
      <x:c r="A1009" s="99" t="str">
        <x:v>P</x:v>
      </x:c>
      <x:c r="B1009" s="99" t="str">
        <x:v>名词</x:v>
      </x:c>
      <x:c r="C1009" s="99" t="n">
        <x:v>44</x:v>
      </x:c>
      <x:c r="D1009" s="99" t="str">
        <x:v>plant</x:v>
      </x:c>
      <x:c r="E1009" s="99" t="str">
        <x:v>/plɑːnt/</x:v>
      </x:c>
      <x:c r="F1009" s="99" t="str">
        <x:v>植物</x:v>
      </x:c>
      <x:c r="G1009" s="99" t="str">
        <x:v>44. plant /plɑːnt/ 植物</x:v>
      </x:c>
    </x:row>
    <x:row r="1010" ht="18" customHeight="1">
      <x:c r="A1010" s="99" t="str">
        <x:v>P</x:v>
      </x:c>
      <x:c r="B1010" s="99" t="str">
        <x:v>名词</x:v>
      </x:c>
      <x:c r="C1010" s="99" t="n">
        <x:v>45</x:v>
      </x:c>
      <x:c r="D1010" s="99" t="str">
        <x:v>plastic</x:v>
      </x:c>
      <x:c r="E1010" s="99" t="str">
        <x:v>/ˈplæstɪk/</x:v>
      </x:c>
      <x:c r="F1010" s="99" t="str">
        <x:v>塑料</x:v>
      </x:c>
      <x:c r="G1010" s="99" t="str">
        <x:v>45. plastic /ˈplæstɪk/ 塑料</x:v>
      </x:c>
    </x:row>
    <x:row r="1011" ht="18" customHeight="1">
      <x:c r="A1011" s="99" t="str">
        <x:v>P</x:v>
      </x:c>
      <x:c r="B1011" s="99" t="str">
        <x:v>名词</x:v>
      </x:c>
      <x:c r="C1011" s="99" t="n">
        <x:v>46</x:v>
      </x:c>
      <x:c r="D1011" s="99" t="str">
        <x:v>plate</x:v>
      </x:c>
      <x:c r="E1011" s="99" t="str">
        <x:v>/pleɪt/</x:v>
      </x:c>
      <x:c r="F1011" s="99" t="str">
        <x:v>盘子；碟子</x:v>
      </x:c>
      <x:c r="G1011" s="99" t="str">
        <x:v>46. plate /pleɪt/ 盘子；碟子</x:v>
      </x:c>
    </x:row>
    <x:row r="1012" ht="18" customHeight="1">
      <x:c r="A1012" s="99" t="str">
        <x:v>P</x:v>
      </x:c>
      <x:c r="B1012" s="99" t="str">
        <x:v>名词</x:v>
      </x:c>
      <x:c r="C1012" s="99" t="n">
        <x:v>47</x:v>
      </x:c>
      <x:c r="D1012" s="99" t="str">
        <x:v>play</x:v>
      </x:c>
      <x:c r="E1012" s="99" t="str">
        <x:v>/pleɪ/</x:v>
      </x:c>
      <x:c r="F1012" s="99" t="str">
        <x:v>戏剧；剧本</x:v>
      </x:c>
      <x:c r="G1012" s="99" t="str">
        <x:v>47. play /pleɪ/ 戏剧；剧本</x:v>
      </x:c>
    </x:row>
    <x:row r="1013" ht="18" customHeight="1">
      <x:c r="A1013" s="99" t="str">
        <x:v>P</x:v>
      </x:c>
      <x:c r="B1013" s="99" t="str">
        <x:v>名词</x:v>
      </x:c>
      <x:c r="C1013" s="99" t="n">
        <x:v>48</x:v>
      </x:c>
      <x:c r="D1013" s="99" t="str">
        <x:v>player</x:v>
      </x:c>
      <x:c r="E1013" s="99" t="str">
        <x:v>/ˈpleɪə/</x:v>
      </x:c>
      <x:c r="F1013" s="99" t="str">
        <x:v>运动员；选手</x:v>
      </x:c>
      <x:c r="G1013" s="99" t="str">
        <x:v>48. player /ˈpleɪə/ 运动员；选手</x:v>
      </x:c>
    </x:row>
    <x:row r="1014" ht="18" customHeight="1">
      <x:c r="A1014" s="99" t="str">
        <x:v>P</x:v>
      </x:c>
      <x:c r="B1014" s="99" t="str">
        <x:v>名词</x:v>
      </x:c>
      <x:c r="C1014" s="99" t="n">
        <x:v>49</x:v>
      </x:c>
      <x:c r="D1014" s="99" t="str">
        <x:v>playground</x:v>
      </x:c>
      <x:c r="E1014" s="99" t="str">
        <x:v>/ˈpleɪɡraʊnd/</x:v>
      </x:c>
      <x:c r="F1014" s="99" t="str">
        <x:v>操场</x:v>
      </x:c>
      <x:c r="G1014" s="99" t="str">
        <x:v>49. playground /ˈpleɪɡraʊnd/ 操场</x:v>
      </x:c>
    </x:row>
    <x:row r="1015" ht="18" customHeight="1">
      <x:c r="A1015" s="99" t="str">
        <x:v>P</x:v>
      </x:c>
      <x:c r="B1015" s="99" t="str">
        <x:v>名词</x:v>
      </x:c>
      <x:c r="C1015" s="99" t="n">
        <x:v>50</x:v>
      </x:c>
      <x:c r="D1015" s="99" t="str">
        <x:v>pleasant</x:v>
      </x:c>
      <x:c r="E1015" s="99" t="str">
        <x:v>/ˈpleznt/</x:v>
      </x:c>
      <x:c r="F1015" s="99" t="str">
        <x:v>令人愉快的事物（兼作形容词）</x:v>
      </x:c>
      <x:c r="G1015" s="99" t="str">
        <x:v>50. pleasant /ˈpleznt/ 令人愉快的事物（兼作形容词）</x:v>
      </x:c>
    </x:row>
    <x:row r="1016" ht="18" customHeight="1">
      <x:c r="A1016" s="99" t="str">
        <x:v>P</x:v>
      </x:c>
      <x:c r="B1016" s="99" t="str">
        <x:v>名词</x:v>
      </x:c>
      <x:c r="C1016" s="99" t="n">
        <x:v>51</x:v>
      </x:c>
      <x:c r="D1016" s="99" t="str">
        <x:v>pleasure</x:v>
      </x:c>
      <x:c r="E1016" s="99" t="str">
        <x:v>/ˈpleʒə/</x:v>
      </x:c>
      <x:c r="F1016" s="99" t="str">
        <x:v>愉快；快乐</x:v>
      </x:c>
      <x:c r="G1016" s="99" t="str">
        <x:v>51. pleasure /ˈpleʒə/ 愉快；快乐</x:v>
      </x:c>
    </x:row>
    <x:row r="1017" ht="18" customHeight="1">
      <x:c r="A1017" s="99" t="str">
        <x:v>P</x:v>
      </x:c>
      <x:c r="B1017" s="99" t="str">
        <x:v>名词</x:v>
      </x:c>
      <x:c r="C1017" s="99" t="n">
        <x:v>52</x:v>
      </x:c>
      <x:c r="D1017" s="99" t="str">
        <x:v>pocket</x:v>
      </x:c>
      <x:c r="E1017" s="99" t="str">
        <x:v>/ˈpɒkɪt/</x:v>
      </x:c>
      <x:c r="F1017" s="99" t="str">
        <x:v>衣袋；口袋</x:v>
      </x:c>
      <x:c r="G1017" s="99" t="str">
        <x:v>52. pocket /ˈpɒkɪt/ 衣袋；口袋</x:v>
      </x:c>
    </x:row>
    <x:row r="1018" ht="18" customHeight="1">
      <x:c r="A1018" s="99" t="str">
        <x:v>P</x:v>
      </x:c>
      <x:c r="B1018" s="99" t="str">
        <x:v>名词</x:v>
      </x:c>
      <x:c r="C1018" s="99" t="n">
        <x:v>53</x:v>
      </x:c>
      <x:c r="D1018" s="99" t="str">
        <x:v>poem</x:v>
      </x:c>
      <x:c r="E1018" s="99" t="str">
        <x:v>/ˈpəʊɪm/</x:v>
      </x:c>
      <x:c r="F1018" s="99" t="str">
        <x:v>诗；诗歌</x:v>
      </x:c>
      <x:c r="G1018" s="99" t="str">
        <x:v>53. poem /ˈpəʊɪm/ 诗；诗歌</x:v>
      </x:c>
    </x:row>
    <x:row r="1019" ht="18" customHeight="1">
      <x:c r="A1019" s="99" t="str">
        <x:v>P</x:v>
      </x:c>
      <x:c r="B1019" s="99" t="str">
        <x:v>名词</x:v>
      </x:c>
      <x:c r="C1019" s="99" t="n">
        <x:v>54</x:v>
      </x:c>
      <x:c r="D1019" s="99" t="str">
        <x:v>point</x:v>
      </x:c>
      <x:c r="E1019" s="99" t="str">
        <x:v>/pɔɪnt/</x:v>
      </x:c>
      <x:c r="F1019" s="99" t="str">
        <x:v>点；分</x:v>
      </x:c>
      <x:c r="G1019" s="99" t="str">
        <x:v>54. point /pɔɪnt/ 点；分</x:v>
      </x:c>
    </x:row>
    <x:row r="1020" ht="18" customHeight="1">
      <x:c r="A1020" s="99" t="str">
        <x:v>P</x:v>
      </x:c>
      <x:c r="B1020" s="99" t="str">
        <x:v>名词</x:v>
      </x:c>
      <x:c r="C1020" s="99" t="n">
        <x:v>55</x:v>
      </x:c>
      <x:c r="D1020" s="99" t="str">
        <x:v>police</x:v>
      </x:c>
      <x:c r="E1020" s="99" t="str">
        <x:v>/pəˈliːs/</x:v>
      </x:c>
      <x:c r="F1020" s="99" t="str">
        <x:v>警察部门；警方</x:v>
      </x:c>
      <x:c r="G1020" s="99" t="str">
        <x:v>55. police /pəˈliːs/ 警察部门；警方</x:v>
      </x:c>
    </x:row>
    <x:row r="1021" ht="18" customHeight="1">
      <x:c r="A1021" s="99" t="str">
        <x:v>P</x:v>
      </x:c>
      <x:c r="B1021" s="99" t="str">
        <x:v>名词</x:v>
      </x:c>
      <x:c r="C1021" s="99" t="n">
        <x:v>56</x:v>
      </x:c>
      <x:c r="D1021" s="99" t="str">
        <x:v>policeman</x:v>
      </x:c>
      <x:c r="E1021" s="99" t="str">
        <x:v>/pəˈliːsmən/</x:v>
      </x:c>
      <x:c r="F1021" s="99" t="str">
        <x:v>男警察</x:v>
      </x:c>
      <x:c r="G1021" s="99" t="str">
        <x:v>56. policeman /pəˈliːsmən/ 男警察</x:v>
      </x:c>
    </x:row>
    <x:row r="1022" ht="18" customHeight="1">
      <x:c r="A1022" s="99" t="str">
        <x:v>P</x:v>
      </x:c>
      <x:c r="B1022" s="99" t="str">
        <x:v>名词</x:v>
      </x:c>
      <x:c r="C1022" s="99" t="n">
        <x:v>57</x:v>
      </x:c>
      <x:c r="D1022" s="99" t="str">
        <x:v>polite</x:v>
      </x:c>
      <x:c r="E1022" s="99" t="str">
        <x:v>/pəˈlaɪt/</x:v>
      </x:c>
      <x:c r="F1022" s="99" t="str">
        <x:v>有礼貌的人（兼作形容词）</x:v>
      </x:c>
      <x:c r="G1022" s="99" t="str">
        <x:v>57. polite /pəˈlaɪt/ 有礼貌的人（兼作形容词）</x:v>
      </x:c>
    </x:row>
    <x:row r="1023" ht="18" customHeight="1">
      <x:c r="A1023" s="99" t="str">
        <x:v>P</x:v>
      </x:c>
      <x:c r="B1023" s="99" t="str">
        <x:v>名词</x:v>
      </x:c>
      <x:c r="C1023" s="99" t="n">
        <x:v>58</x:v>
      </x:c>
      <x:c r="D1023" s="99" t="str">
        <x:v>pool</x:v>
      </x:c>
      <x:c r="E1023" s="99" t="str">
        <x:v>/puːl/</x:v>
      </x:c>
      <x:c r="F1023" s="99" t="str">
        <x:v>水池；水塘</x:v>
      </x:c>
      <x:c r="G1023" s="99" t="str">
        <x:v>58. pool /puːl/ 水池；水塘</x:v>
      </x:c>
    </x:row>
    <x:row r="1024" ht="18" customHeight="1">
      <x:c r="A1024" s="99" t="str">
        <x:v>P</x:v>
      </x:c>
      <x:c r="B1024" s="99" t="str">
        <x:v>名词</x:v>
      </x:c>
      <x:c r="C1024" s="99" t="n">
        <x:v>59</x:v>
      </x:c>
      <x:c r="D1024" s="99" t="str">
        <x:v>poor</x:v>
      </x:c>
      <x:c r="E1024" s="99" t="str">
        <x:v>/pʊə/</x:v>
      </x:c>
      <x:c r="F1024" s="99" t="str">
        <x:v>穷人（兼作形容词）</x:v>
      </x:c>
      <x:c r="G1024" s="99" t="str">
        <x:v>59. poor /pʊə/ 穷人（兼作形容词）</x:v>
      </x:c>
    </x:row>
    <x:row r="1025" ht="18" customHeight="1">
      <x:c r="A1025" s="99" t="str">
        <x:v>P</x:v>
      </x:c>
      <x:c r="B1025" s="99" t="str">
        <x:v>名词</x:v>
      </x:c>
      <x:c r="C1025" s="99" t="n">
        <x:v>60</x:v>
      </x:c>
      <x:c r="D1025" s="99" t="str">
        <x:v>pork</x:v>
      </x:c>
      <x:c r="E1025" s="99" t="str">
        <x:v>/pɔːk/</x:v>
      </x:c>
      <x:c r="F1025" s="99" t="str">
        <x:v>猪肉</x:v>
      </x:c>
      <x:c r="G1025" s="99" t="str">
        <x:v>60. pork /pɔːk/ 猪肉</x:v>
      </x:c>
    </x:row>
    <x:row r="1026" ht="18" customHeight="1">
      <x:c r="A1026" s="99" t="str">
        <x:v>P</x:v>
      </x:c>
      <x:c r="B1026" s="99" t="str">
        <x:v>名词</x:v>
      </x:c>
      <x:c r="C1026" s="99" t="n">
        <x:v>61</x:v>
      </x:c>
      <x:c r="D1026" s="99" t="str">
        <x:v>possible</x:v>
      </x:c>
      <x:c r="E1026" s="99" t="str">
        <x:v>/ˈpɒsəbl/</x:v>
      </x:c>
      <x:c r="F1026" s="99" t="str">
        <x:v>可能的人/物（兼作形容词）</x:v>
      </x:c>
      <x:c r="G1026" s="99" t="str">
        <x:v>61. possible /ˈpɒsəbl/ 可能的人/物（兼作形容词）</x:v>
      </x:c>
    </x:row>
    <x:row r="1027" ht="18" customHeight="1">
      <x:c r="A1027" s="99" t="str">
        <x:v>P</x:v>
      </x:c>
      <x:c r="B1027" s="99" t="str">
        <x:v>名词</x:v>
      </x:c>
      <x:c r="C1027" s="99" t="n">
        <x:v>62</x:v>
      </x:c>
      <x:c r="D1027" s="99" t="str">
        <x:v>post</x:v>
      </x:c>
      <x:c r="E1027" s="99" t="str">
        <x:v>/pəʊst/</x:v>
      </x:c>
      <x:c r="F1027" s="99" t="str">
        <x:v>邮政；邮件；柱；杆</x:v>
      </x:c>
      <x:c r="G1027" s="99" t="str">
        <x:v>62. post /pəʊst/ 邮政；邮件；柱；杆</x:v>
      </x:c>
    </x:row>
    <x:row r="1028" ht="18" customHeight="1">
      <x:c r="A1028" s="99" t="str">
        <x:v>P</x:v>
      </x:c>
      <x:c r="B1028" s="99" t="str">
        <x:v>名词</x:v>
      </x:c>
      <x:c r="C1028" s="99" t="n">
        <x:v>63</x:v>
      </x:c>
      <x:c r="D1028" s="99" t="str">
        <x:v>postcard</x:v>
      </x:c>
      <x:c r="E1028" s="99" t="str">
        <x:v>/ˈpəʊstkɑːd/</x:v>
      </x:c>
      <x:c r="F1028" s="99" t="str">
        <x:v>明信片</x:v>
      </x:c>
      <x:c r="G1028" s="99" t="str">
        <x:v>63. postcard /ˈpəʊstkɑːd/ 明信片</x:v>
      </x:c>
    </x:row>
    <x:row r="1029" ht="18" customHeight="1">
      <x:c r="A1029" s="99" t="str">
        <x:v>P</x:v>
      </x:c>
      <x:c r="B1029" s="99" t="str">
        <x:v>名词</x:v>
      </x:c>
      <x:c r="C1029" s="99" t="n">
        <x:v>64</x:v>
      </x:c>
      <x:c r="D1029" s="99" t="str">
        <x:v>pot</x:v>
      </x:c>
      <x:c r="E1029" s="99" t="str">
        <x:v>/pɒt/</x:v>
      </x:c>
      <x:c r="F1029" s="99" t="str">
        <x:v>锅；罐</x:v>
      </x:c>
      <x:c r="G1029" s="99" t="str">
        <x:v>64. pot /pɒt/ 锅；罐</x:v>
      </x:c>
    </x:row>
    <x:row r="1030" ht="18" customHeight="1">
      <x:c r="A1030" s="99" t="str">
        <x:v>P</x:v>
      </x:c>
      <x:c r="B1030" s="99" t="str">
        <x:v>名词</x:v>
      </x:c>
      <x:c r="C1030" s="99" t="n">
        <x:v>65</x:v>
      </x:c>
      <x:c r="D1030" s="99" t="str">
        <x:v>potato</x:v>
      </x:c>
      <x:c r="E1030" s="99" t="str">
        <x:v>/pəˈteɪtəʊ/</x:v>
      </x:c>
      <x:c r="F1030" s="99" t="str">
        <x:v>马铃薯；土豆</x:v>
      </x:c>
      <x:c r="G1030" s="99" t="str">
        <x:v>65. potato /pəˈteɪtəʊ/ 马铃薯；土豆</x:v>
      </x:c>
    </x:row>
    <x:row r="1031" ht="18" customHeight="1">
      <x:c r="A1031" s="99" t="str">
        <x:v>P</x:v>
      </x:c>
      <x:c r="B1031" s="99" t="str">
        <x:v>名词</x:v>
      </x:c>
      <x:c r="C1031" s="99" t="n">
        <x:v>66</x:v>
      </x:c>
      <x:c r="D1031" s="99" t="str">
        <x:v>pound</x:v>
      </x:c>
      <x:c r="E1031" s="99" t="str">
        <x:v>/paʊnd/</x:v>
      </x:c>
      <x:c r="F1031" s="99" t="str">
        <x:v>英镑</x:v>
      </x:c>
      <x:c r="G1031" s="99" t="str">
        <x:v>66. pound /paʊnd/ 英镑</x:v>
      </x:c>
    </x:row>
    <x:row r="1032" ht="18" customHeight="1">
      <x:c r="A1032" s="99" t="str">
        <x:v>P</x:v>
      </x:c>
      <x:c r="B1032" s="99" t="str">
        <x:v>名词</x:v>
      </x:c>
      <x:c r="C1032" s="99" t="n">
        <x:v>67</x:v>
      </x:c>
      <x:c r="D1032" s="99" t="str">
        <x:v>practice</x:v>
      </x:c>
      <x:c r="E1032" s="99" t="str">
        <x:v>/ˈpræktɪs/</x:v>
      </x:c>
      <x:c r="F1032" s="99" t="str">
        <x:v>练习；实践</x:v>
      </x:c>
      <x:c r="G1032" s="99" t="str">
        <x:v>67. practice /ˈpræktɪs/ 练习；实践</x:v>
      </x:c>
    </x:row>
    <x:row r="1033" ht="18" customHeight="1">
      <x:c r="A1033" s="99" t="str">
        <x:v>P</x:v>
      </x:c>
      <x:c r="B1033" s="99" t="str">
        <x:v>名词</x:v>
      </x:c>
      <x:c r="C1033" s="99" t="n">
        <x:v>68</x:v>
      </x:c>
      <x:c r="D1033" s="99" t="str">
        <x:v>predict</x:v>
      </x:c>
      <x:c r="E1033" s="99" t="str">
        <x:v>/prɪˈdɪkt/</x:v>
      </x:c>
      <x:c r="F1033" s="99" t="str">
        <x:v>预测（兼作动词）</x:v>
      </x:c>
      <x:c r="G1033" s="99" t="str">
        <x:v>68. predict /prɪˈdɪkt/ 预测（兼作动词）</x:v>
      </x:c>
    </x:row>
    <x:row r="1034" ht="18" customHeight="1">
      <x:c r="A1034" s="99" t="str">
        <x:v>P</x:v>
      </x:c>
      <x:c r="B1034" s="99" t="str">
        <x:v>名词</x:v>
      </x:c>
      <x:c r="C1034" s="99" t="n">
        <x:v>69</x:v>
      </x:c>
      <x:c r="D1034" s="99" t="str">
        <x:v>preference</x:v>
      </x:c>
      <x:c r="E1034" s="99" t="str">
        <x:v>/ˈprefrəns/</x:v>
      </x:c>
      <x:c r="F1034" s="99" t="str">
        <x:v>偏爱；优先选择（注：词表中prefer为动词，此处补充名词形式）</x:v>
      </x:c>
      <x:c r="G1034" s="99" t="str">
        <x:v>69. preference /ˈprefrəns/ 偏爱；优先选择（注：词表中prefer为动词，此处补充名词形式）</x:v>
      </x:c>
    </x:row>
    <x:row r="1035" ht="18" customHeight="1">
      <x:c r="A1035" s="99" t="str">
        <x:v>P</x:v>
      </x:c>
      <x:c r="B1035" s="99" t="str">
        <x:v>名词</x:v>
      </x:c>
      <x:c r="C1035" s="99" t="n">
        <x:v>70</x:v>
      </x:c>
      <x:c r="D1035" s="99" t="str">
        <x:v>present</x:v>
      </x:c>
      <x:c r="E1035" s="99" t="str">
        <x:v>/ˈpreznt/</x:v>
      </x:c>
      <x:c r="F1035" s="99" t="str">
        <x:v>礼物；现在（兼作形容词/动词）</x:v>
      </x:c>
      <x:c r="G1035" s="99" t="str">
        <x:v>70. present /ˈpreznt/ 礼物；现在（兼作形容词/动词）</x:v>
      </x:c>
    </x:row>
    <x:row r="1036" ht="18" customHeight="1">
      <x:c r="A1036" s="99" t="str">
        <x:v>P</x:v>
      </x:c>
      <x:c r="B1036" s="99" t="str">
        <x:v>名词</x:v>
      </x:c>
      <x:c r="C1036" s="99" t="n">
        <x:v>71</x:v>
      </x:c>
      <x:c r="D1036" s="99" t="str">
        <x:v>president</x:v>
      </x:c>
      <x:c r="E1036" s="99" t="str">
        <x:v>/ˈprezɪdənt/</x:v>
      </x:c>
      <x:c r="F1036" s="99" t="str">
        <x:v>总统；主席</x:v>
      </x:c>
      <x:c r="G1036" s="99" t="str">
        <x:v>71. president /ˈprezɪdənt/ 总统；主席</x:v>
      </x:c>
    </x:row>
    <x:row r="1037" ht="18" customHeight="1">
      <x:c r="A1037" s="99" t="str">
        <x:v>P</x:v>
      </x:c>
      <x:c r="B1037" s="99" t="str">
        <x:v>名词</x:v>
      </x:c>
      <x:c r="C1037" s="99" t="n">
        <x:v>72</x:v>
      </x:c>
      <x:c r="D1037" s="99" t="str">
        <x:v>price</x:v>
      </x:c>
      <x:c r="E1037" s="99" t="str">
        <x:v>/praɪs/</x:v>
      </x:c>
      <x:c r="F1037" s="99" t="str">
        <x:v>价格</x:v>
      </x:c>
      <x:c r="G1037" s="99" t="str">
        <x:v>72. price /praɪs/ 价格</x:v>
      </x:c>
    </x:row>
    <x:row r="1038" ht="18" customHeight="1">
      <x:c r="A1038" s="99" t="str">
        <x:v>P</x:v>
      </x:c>
      <x:c r="B1038" s="99" t="str">
        <x:v>名词</x:v>
      </x:c>
      <x:c r="C1038" s="99" t="n">
        <x:v>73</x:v>
      </x:c>
      <x:c r="D1038" s="99" t="str">
        <x:v>primary</x:v>
      </x:c>
      <x:c r="E1038" s="99" t="str">
        <x:v>/ˈpraɪməri/</x:v>
      </x:c>
      <x:c r="F1038" s="99" t="str">
        <x:v>小学；首要事物（兼作形容词）</x:v>
      </x:c>
      <x:c r="G1038" s="99" t="str">
        <x:v>73. primary /ˈpraɪməri/ 小学；首要事物（兼作形容词）</x:v>
      </x:c>
    </x:row>
    <x:row r="1039" ht="18" customHeight="1">
      <x:c r="A1039" s="99" t="str">
        <x:v>P</x:v>
      </x:c>
      <x:c r="B1039" s="99" t="str">
        <x:v>名词</x:v>
      </x:c>
      <x:c r="C1039" s="99" t="n">
        <x:v>74</x:v>
      </x:c>
      <x:c r="D1039" s="99" t="str">
        <x:v>print</x:v>
      </x:c>
      <x:c r="E1039" s="99" t="str">
        <x:v>/prɪnt/</x:v>
      </x:c>
      <x:c r="F1039" s="99" t="str">
        <x:v>印刷品；打印件</x:v>
      </x:c>
      <x:c r="G1039" s="99" t="str">
        <x:v>74. print /prɪnt/ 印刷品；打印件</x:v>
      </x:c>
    </x:row>
    <x:row r="1040" ht="18" customHeight="1">
      <x:c r="A1040" s="99" t="str">
        <x:v>P</x:v>
      </x:c>
      <x:c r="B1040" s="99" t="str">
        <x:v>名词</x:v>
      </x:c>
      <x:c r="C1040" s="99" t="n">
        <x:v>75</x:v>
      </x:c>
      <x:c r="D1040" s="99" t="str">
        <x:v>prison</x:v>
      </x:c>
      <x:c r="E1040" s="99" t="str">
        <x:v>/ˈprɪzn/</x:v>
      </x:c>
      <x:c r="F1040" s="99" t="str">
        <x:v>监狱</x:v>
      </x:c>
      <x:c r="G1040" s="99" t="str">
        <x:v>75. prison /ˈprɪzn/ 监狱</x:v>
      </x:c>
    </x:row>
    <x:row r="1041" ht="18" customHeight="1">
      <x:c r="A1041" s="99" t="str">
        <x:v>P</x:v>
      </x:c>
      <x:c r="B1041" s="99" t="str">
        <x:v>名词</x:v>
      </x:c>
      <x:c r="C1041" s="99" t="n">
        <x:v>76</x:v>
      </x:c>
      <x:c r="D1041" s="99" t="str">
        <x:v>private</x:v>
      </x:c>
      <x:c r="E1041" s="99" t="str">
        <x:v>/ˈpraɪvət/</x:v>
      </x:c>
      <x:c r="F1041" s="99" t="str">
        <x:v>私人的事物（兼作形容词）</x:v>
      </x:c>
      <x:c r="G1041" s="99" t="str">
        <x:v>76. private /ˈpraɪvət/ 私人的事物（兼作形容词）</x:v>
      </x:c>
    </x:row>
    <x:row r="1042" ht="18" customHeight="1">
      <x:c r="A1042" s="99" t="str">
        <x:v>P</x:v>
      </x:c>
      <x:c r="B1042" s="99" t="str">
        <x:v>名词</x:v>
      </x:c>
      <x:c r="C1042" s="99" t="n">
        <x:v>77</x:v>
      </x:c>
      <x:c r="D1042" s="99" t="str">
        <x:v>prize</x:v>
      </x:c>
      <x:c r="E1042" s="99" t="str">
        <x:v>/praɪz/</x:v>
      </x:c>
      <x:c r="F1042" s="99" t="str">
        <x:v>奖品；奖项</x:v>
      </x:c>
      <x:c r="G1042" s="99" t="str">
        <x:v>77. prize /praɪz/ 奖品；奖项</x:v>
      </x:c>
    </x:row>
    <x:row r="1043" ht="18" customHeight="1">
      <x:c r="A1043" s="99" t="str">
        <x:v>P</x:v>
      </x:c>
      <x:c r="B1043" s="99" t="str">
        <x:v>名词</x:v>
      </x:c>
      <x:c r="C1043" s="99" t="n">
        <x:v>78</x:v>
      </x:c>
      <x:c r="D1043" s="99" t="str">
        <x:v>probably</x:v>
      </x:c>
      <x:c r="E1043" s="99" t="str">
        <x:v>/ˈprɒbəbli/</x:v>
      </x:c>
      <x:c r="F1043" s="99" t="str">
        <x:v>可能性（兼作副词）</x:v>
      </x:c>
      <x:c r="G1043" s="99" t="str">
        <x:v>78. probably /ˈprɒbəbli/ 可能性（兼作副词）</x:v>
      </x:c>
    </x:row>
    <x:row r="1044" ht="18" customHeight="1">
      <x:c r="A1044" s="99" t="str">
        <x:v>P</x:v>
      </x:c>
      <x:c r="B1044" s="99" t="str">
        <x:v>名词</x:v>
      </x:c>
      <x:c r="C1044" s="99" t="n">
        <x:v>79</x:v>
      </x:c>
      <x:c r="D1044" s="99" t="str">
        <x:v>problem</x:v>
      </x:c>
      <x:c r="E1044" s="99" t="str">
        <x:v>/ˈprɒbləm/</x:v>
      </x:c>
      <x:c r="F1044" s="99" t="str">
        <x:v>问题；难题</x:v>
      </x:c>
      <x:c r="G1044" s="99" t="str">
        <x:v>79. problem /ˈprɒbləm/ 问题；难题</x:v>
      </x:c>
    </x:row>
    <x:row r="1045" ht="18" customHeight="1">
      <x:c r="A1045" s="99" t="str">
        <x:v>P</x:v>
      </x:c>
      <x:c r="B1045" s="99" t="str">
        <x:v>名词</x:v>
      </x:c>
      <x:c r="C1045" s="99" t="n">
        <x:v>80</x:v>
      </x:c>
      <x:c r="D1045" s="99" t="str">
        <x:v>process</x:v>
      </x:c>
      <x:c r="E1045" s="99" t="str">
        <x:v>/ˈprəʊses/</x:v>
      </x:c>
      <x:c r="F1045" s="99" t="str">
        <x:v>过程；进程（兼作动词）</x:v>
      </x:c>
      <x:c r="G1045" s="99" t="str">
        <x:v>80. process /ˈprəʊses/ 过程；进程（兼作动词）</x:v>
      </x:c>
    </x:row>
    <x:row r="1046" ht="18" customHeight="1">
      <x:c r="A1046" s="99" t="str">
        <x:v>P</x:v>
      </x:c>
      <x:c r="B1046" s="99" t="str">
        <x:v>名词</x:v>
      </x:c>
      <x:c r="C1046" s="99" t="n">
        <x:v>81</x:v>
      </x:c>
      <x:c r="D1046" s="99" t="str">
        <x:v>produce</x:v>
      </x:c>
      <x:c r="E1046" s="99" t="str">
        <x:v>/ˈprɒdjuːs/</x:v>
      </x:c>
      <x:c r="F1046" s="99" t="str">
        <x:v>产品；农产品（兼作动词）</x:v>
      </x:c>
      <x:c r="G1046" s="99" t="str">
        <x:v>81. produce /ˈprɒdjuːs/ 产品；农产品（兼作动词）</x:v>
      </x:c>
    </x:row>
    <x:row r="1047" ht="18" customHeight="1">
      <x:c r="A1047" s="99" t="str">
        <x:v>P</x:v>
      </x:c>
      <x:c r="B1047" s="99" t="str">
        <x:v>名词</x:v>
      </x:c>
      <x:c r="C1047" s="99" t="n">
        <x:v>82</x:v>
      </x:c>
      <x:c r="D1047" s="99" t="str">
        <x:v>product</x:v>
      </x:c>
      <x:c r="E1047" s="99" t="str">
        <x:v>/ˈprɒdʌkt/</x:v>
      </x:c>
      <x:c r="F1047" s="99" t="str">
        <x:v>产品；产物</x:v>
      </x:c>
      <x:c r="G1047" s="99" t="str">
        <x:v>82. product /ˈprɒdʌkt/ 产品；产物</x:v>
      </x:c>
    </x:row>
    <x:row r="1048" ht="18" customHeight="1">
      <x:c r="A1048" s="99" t="str">
        <x:v>P</x:v>
      </x:c>
      <x:c r="B1048" s="99" t="str">
        <x:v>名词</x:v>
      </x:c>
      <x:c r="C1048" s="99" t="n">
        <x:v>83</x:v>
      </x:c>
      <x:c r="D1048" s="99" t="str">
        <x:v>program</x:v>
      </x:c>
      <x:c r="E1048" s="99" t="str">
        <x:v>/ˈprəʊɡræm/</x:v>
      </x:c>
      <x:c r="F1048" s="99" t="str">
        <x:v>节目；计划</x:v>
      </x:c>
      <x:c r="G1048" s="99" t="str">
        <x:v>83. program /ˈprəʊɡræm/ 节目；计划</x:v>
      </x:c>
    </x:row>
    <x:row r="1049" ht="18" customHeight="1">
      <x:c r="A1049" s="99" t="str">
        <x:v>P</x:v>
      </x:c>
      <x:c r="B1049" s="99" t="str">
        <x:v>名词</x:v>
      </x:c>
      <x:c r="C1049" s="99" t="n">
        <x:v>84</x:v>
      </x:c>
      <x:c r="D1049" s="99" t="str">
        <x:v>progress</x:v>
      </x:c>
      <x:c r="E1049" s="99" t="str">
        <x:v>/ˈprəʊɡres/</x:v>
      </x:c>
      <x:c r="F1049" s="99" t="str">
        <x:v>进步；进展</x:v>
      </x:c>
      <x:c r="G1049" s="99" t="str">
        <x:v>84. progress /ˈprəʊɡres/ 进步；进展</x:v>
      </x:c>
    </x:row>
    <x:row r="1050" ht="18" customHeight="1">
      <x:c r="A1050" s="99" t="str">
        <x:v>P</x:v>
      </x:c>
      <x:c r="B1050" s="99" t="str">
        <x:v>名词</x:v>
      </x:c>
      <x:c r="C1050" s="99" t="n">
        <x:v>85</x:v>
      </x:c>
      <x:c r="D1050" s="99" t="str">
        <x:v>project</x:v>
      </x:c>
      <x:c r="E1050" s="99" t="str">
        <x:v>/ˈprɒdʒekt/</x:v>
      </x:c>
      <x:c r="F1050" s="99" t="str">
        <x:v>计划；工程；项目</x:v>
      </x:c>
      <x:c r="G1050" s="99" t="str">
        <x:v>85. project /ˈprɒdʒekt/ 计划；工程；项目</x:v>
      </x:c>
    </x:row>
    <x:row r="1051" ht="18" customHeight="1">
      <x:c r="A1051" s="99" t="str">
        <x:v>P</x:v>
      </x:c>
      <x:c r="B1051" s="99" t="str">
        <x:v>名词</x:v>
      </x:c>
      <x:c r="C1051" s="99" t="n">
        <x:v>86</x:v>
      </x:c>
      <x:c r="D1051" s="99" t="str">
        <x:v>promise</x:v>
      </x:c>
      <x:c r="E1051" s="99" t="str">
        <x:v>/ˈprɒmɪs/</x:v>
      </x:c>
      <x:c r="F1051" s="99" t="str">
        <x:v>承诺；诺言</x:v>
      </x:c>
      <x:c r="G1051" s="99" t="str">
        <x:v>86. promise /ˈprɒmɪs/ 承诺；诺言</x:v>
      </x:c>
    </x:row>
    <x:row r="1052" ht="18" customHeight="1">
      <x:c r="A1052" s="99" t="str">
        <x:v>P</x:v>
      </x:c>
      <x:c r="B1052" s="99" t="str">
        <x:v>名词</x:v>
      </x:c>
      <x:c r="C1052" s="99" t="n">
        <x:v>87</x:v>
      </x:c>
      <x:c r="D1052" s="99" t="str">
        <x:v>pronounce</x:v>
      </x:c>
      <x:c r="E1052" s="99" t="str">
        <x:v>/prəˈnaʊns/</x:v>
      </x:c>
      <x:c r="F1052" s="99" t="str">
        <x:v>发音（兼作动词）</x:v>
      </x:c>
      <x:c r="G1052" s="99" t="str">
        <x:v>87. pronounce /prəˈnaʊns/ 发音（兼作动词）</x:v>
      </x:c>
    </x:row>
    <x:row r="1053" ht="18" customHeight="1">
      <x:c r="A1053" s="99" t="str">
        <x:v>P</x:v>
      </x:c>
      <x:c r="B1053" s="99" t="str">
        <x:v>名词</x:v>
      </x:c>
      <x:c r="C1053" s="99" t="n">
        <x:v>88</x:v>
      </x:c>
      <x:c r="D1053" s="99" t="str">
        <x:v>pronunciation</x:v>
      </x:c>
      <x:c r="E1053" s="99" t="str">
        <x:v>/prəˌnʌnsiˈeɪʃn/</x:v>
      </x:c>
      <x:c r="F1053" s="99" t="str">
        <x:v>发音</x:v>
      </x:c>
      <x:c r="G1053" s="99" t="str">
        <x:v>88. pronunciation /prəˌnʌnsiˈeɪʃn/ 发音</x:v>
      </x:c>
    </x:row>
    <x:row r="1054" ht="18" customHeight="1">
      <x:c r="A1054" s="99" t="str">
        <x:v>P</x:v>
      </x:c>
      <x:c r="B1054" s="99" t="str">
        <x:v>名词</x:v>
      </x:c>
      <x:c r="C1054" s="99" t="n">
        <x:v>89</x:v>
      </x:c>
      <x:c r="D1054" s="99" t="str">
        <x:v>proof</x:v>
      </x:c>
      <x:c r="E1054" s="99" t="str">
        <x:v>/pruːf/</x:v>
      </x:c>
      <x:c r="F1054" s="99" t="str">
        <x:v>证明；证据（注：词表中protect为动词，此处补充名词形式）</x:v>
      </x:c>
      <x:c r="G1054" s="99" t="str">
        <x:v>89. proof /pruːf/ 证明；证据（注：词表中protect为动词，此处补充名词形式）</x:v>
      </x:c>
    </x:row>
    <x:row r="1055" ht="18" customHeight="1">
      <x:c r="A1055" s="99" t="str">
        <x:v>P</x:v>
      </x:c>
      <x:c r="B1055" s="99" t="str">
        <x:v>名词</x:v>
      </x:c>
      <x:c r="C1055" s="99" t="n">
        <x:v>90</x:v>
      </x:c>
      <x:c r="D1055" s="99" t="str">
        <x:v>proper</x:v>
      </x:c>
      <x:c r="E1055" s="99" t="str">
        <x:v>/ˈprɒpə/</x:v>
      </x:c>
      <x:c r="F1055" s="99" t="str">
        <x:v>适当的事物（兼作形容词）</x:v>
      </x:c>
      <x:c r="G1055" s="99" t="str">
        <x:v>90. proper /ˈprɒpə/ 适当的事物（兼作形容词）</x:v>
      </x:c>
    </x:row>
    <x:row r="1056" ht="18" customHeight="1">
      <x:c r="A1056" s="99" t="str">
        <x:v>P</x:v>
      </x:c>
      <x:c r="B1056" s="99" t="str">
        <x:v>名词</x:v>
      </x:c>
      <x:c r="C1056" s="99" t="n">
        <x:v>91</x:v>
      </x:c>
      <x:c r="D1056" s="99" t="str">
        <x:v>protect</x:v>
      </x:c>
      <x:c r="E1056" s="99" t="str">
        <x:v>/prəˈtekt/</x:v>
      </x:c>
      <x:c r="F1056" s="99" t="str">
        <x:v>保护（兼作动词）</x:v>
      </x:c>
      <x:c r="G1056" s="99" t="str">
        <x:v>91. protect /prəˈtekt/ 保护（兼作动词）</x:v>
      </x:c>
    </x:row>
    <x:row r="1057" ht="18" customHeight="1">
      <x:c r="A1057" s="99" t="str">
        <x:v>P</x:v>
      </x:c>
      <x:c r="B1057" s="99" t="str">
        <x:v>名词</x:v>
      </x:c>
      <x:c r="C1057" s="99" t="n">
        <x:v>92</x:v>
      </x:c>
      <x:c r="D1057" s="99" t="str">
        <x:v>proud</x:v>
      </x:c>
      <x:c r="E1057" s="99" t="str">
        <x:v>/praʊd/</x:v>
      </x:c>
      <x:c r="F1057" s="99" t="str">
        <x:v>骄傲的人（兼作形容词）</x:v>
      </x:c>
      <x:c r="G1057" s="99" t="str">
        <x:v>92. proud /praʊd/ 骄傲的人（兼作形容词）</x:v>
      </x:c>
    </x:row>
    <x:row r="1058" ht="18" customHeight="1">
      <x:c r="A1058" s="99" t="str">
        <x:v>P</x:v>
      </x:c>
      <x:c r="B1058" s="99" t="str">
        <x:v>名词</x:v>
      </x:c>
      <x:c r="C1058" s="99" t="n">
        <x:v>93</x:v>
      </x:c>
      <x:c r="D1058" s="99" t="str">
        <x:v>prove</x:v>
      </x:c>
      <x:c r="E1058" s="99" t="str">
        <x:v>/pruːv/</x:v>
      </x:c>
      <x:c r="F1058" s="99" t="str">
        <x:v>证明（兼作动词）</x:v>
      </x:c>
      <x:c r="G1058" s="99" t="str">
        <x:v>93. prove /pruːv/ 证明（兼作动词）</x:v>
      </x:c>
    </x:row>
    <x:row r="1059" ht="18" customHeight="1">
      <x:c r="A1059" s="99" t="str">
        <x:v>P</x:v>
      </x:c>
      <x:c r="B1059" s="99" t="str">
        <x:v>名词</x:v>
      </x:c>
      <x:c r="C1059" s="99" t="n">
        <x:v>94</x:v>
      </x:c>
      <x:c r="D1059" s="99" t="str">
        <x:v>provide</x:v>
      </x:c>
      <x:c r="E1059" s="99" t="str">
        <x:v>/prəˈvaɪd/</x:v>
      </x:c>
      <x:c r="F1059" s="99" t="str">
        <x:v>提供（兼作动词）</x:v>
      </x:c>
      <x:c r="G1059" s="99" t="str">
        <x:v>94. provide /prəˈvaɪd/ 提供（兼作动词）</x:v>
      </x:c>
    </x:row>
    <x:row r="1060" ht="18" customHeight="1">
      <x:c r="A1060" s="99" t="str">
        <x:v>P</x:v>
      </x:c>
      <x:c r="B1060" s="99" t="str">
        <x:v>名词</x:v>
      </x:c>
      <x:c r="C1060" s="99" t="n">
        <x:v>95</x:v>
      </x:c>
      <x:c r="D1060" s="99" t="str">
        <x:v>public</x:v>
      </x:c>
      <x:c r="E1060" s="99" t="str">
        <x:v>/ˈpʌblɪk/</x:v>
      </x:c>
      <x:c r="F1060" s="99" t="str">
        <x:v>公众；公共场所（兼作形容词）</x:v>
      </x:c>
      <x:c r="G1060" s="99" t="str">
        <x:v>95. public /ˈpʌblɪk/ 公众；公共场所（兼作形容词）</x:v>
      </x:c>
    </x:row>
    <x:row r="1061" ht="18" customHeight="1">
      <x:c r="A1061" s="99" t="str">
        <x:v>P</x:v>
      </x:c>
      <x:c r="B1061" s="99" t="str">
        <x:v>名词</x:v>
      </x:c>
      <x:c r="C1061" s="99" t="n">
        <x:v>96</x:v>
      </x:c>
      <x:c r="D1061" s="99" t="str">
        <x:v>pull</x:v>
      </x:c>
      <x:c r="E1061" s="99" t="str">
        <x:v>/pʊl/</x:v>
      </x:c>
      <x:c r="F1061" s="99" t="str">
        <x:v>拉；拽；扯（兼作动词）</x:v>
      </x:c>
      <x:c r="G1061" s="99" t="str">
        <x:v>96. pull /pʊl/ 拉；拽；扯（兼作动词）</x:v>
      </x:c>
    </x:row>
    <x:row r="1062" ht="18" customHeight="1">
      <x:c r="A1062" s="99" t="str">
        <x:v>P</x:v>
      </x:c>
      <x:c r="B1062" s="99" t="str">
        <x:v>名词</x:v>
      </x:c>
      <x:c r="C1062" s="99" t="n">
        <x:v>97</x:v>
      </x:c>
      <x:c r="D1062" s="99" t="str">
        <x:v>pupil</x:v>
      </x:c>
      <x:c r="E1062" s="99" t="str">
        <x:v>/ˈpjuːpl/</x:v>
      </x:c>
      <x:c r="F1062" s="99" t="str">
        <x:v>学生；小学生</x:v>
      </x:c>
      <x:c r="G1062" s="99" t="str">
        <x:v>97. pupil /ˈpjuːpl/ 学生；小学生</x:v>
      </x:c>
    </x:row>
    <x:row r="1063" ht="18" customHeight="1">
      <x:c r="A1063" s="99" t="str">
        <x:v>P</x:v>
      </x:c>
      <x:c r="B1063" s="99" t="str">
        <x:v>名词</x:v>
      </x:c>
      <x:c r="C1063" s="99" t="n">
        <x:v>98</x:v>
      </x:c>
      <x:c r="D1063" s="99" t="str">
        <x:v>pure</x:v>
      </x:c>
      <x:c r="E1063" s="99" t="str">
        <x:v>/pjʊə/</x:v>
      </x:c>
      <x:c r="F1063" s="99" t="str">
        <x:v>纯净的事物（兼作形容词）</x:v>
      </x:c>
      <x:c r="G1063" s="99" t="str">
        <x:v>98. pure /pjʊə/ 纯净的事物（兼作形容词）</x:v>
      </x:c>
    </x:row>
    <x:row r="1064" ht="18" customHeight="1">
      <x:c r="A1064" s="99" t="str">
        <x:v>P</x:v>
      </x:c>
      <x:c r="B1064" s="99" t="str">
        <x:v>名词</x:v>
      </x:c>
      <x:c r="C1064" s="99" t="n">
        <x:v>99</x:v>
      </x:c>
      <x:c r="D1064" s="99" t="str">
        <x:v>push</x:v>
      </x:c>
      <x:c r="E1064" s="99" t="str">
        <x:v>/pʊʃ/</x:v>
      </x:c>
      <x:c r="F1064" s="99" t="str">
        <x:v>推（兼作动词）</x:v>
      </x:c>
      <x:c r="G1064" s="99" t="str">
        <x:v>99. push /pʊʃ/ 推（兼作动词）</x:v>
      </x:c>
    </x:row>
    <x:row r="1065" ht="18" customHeight="1">
      <x:c r="A1065" s="99" t="str">
        <x:v>P</x:v>
      </x:c>
      <x:c r="B1065" s="99" t="str">
        <x:v>名词</x:v>
      </x:c>
      <x:c r="C1065" s="99" t="n">
        <x:v>100</x:v>
      </x:c>
      <x:c r="D1065" s="99" t="str">
        <x:v>put</x:v>
      </x:c>
      <x:c r="E1065" s="99" t="str">
        <x:v>/pʊt/</x:v>
      </x:c>
      <x:c r="F1065" s="99" t="str">
        <x:v>放置（兼作动词）</x:v>
      </x:c>
      <x:c r="G1065" s="99" t="str">
        <x:v>100. put /pʊt/ 放置（兼作动词）</x:v>
      </x:c>
    </x:row>
    <x:row r="1066" ht="18" customHeight="1">
      <x:c r="A1066" s="99" t="str">
        <x:v>P</x:v>
      </x:c>
      <x:c r="B1066" s="99" t="str">
        <x:v>动词</x:v>
      </x:c>
      <x:c r="C1066" s="99" t="n">
        <x:v>1</x:v>
      </x:c>
      <x:c r="D1066" s="99" t="str">
        <x:v>paint</x:v>
      </x:c>
      <x:c r="E1066" s="99" t="str">
        <x:v>/peɪnt/</x:v>
      </x:c>
      <x:c r="F1066" s="99" t="str">
        <x:v>绘画；给……上油漆</x:v>
      </x:c>
      <x:c r="G1066" s="99" t="str">
        <x:v>1. paint /peɪnt/ 绘画；给……上油漆</x:v>
      </x:c>
    </x:row>
    <x:row r="1067" ht="18" customHeight="1">
      <x:c r="A1067" s="99" t="str">
        <x:v>P</x:v>
      </x:c>
      <x:c r="B1067" s="99" t="str">
        <x:v>动词</x:v>
      </x:c>
      <x:c r="C1067" s="99" t="n">
        <x:v>2</x:v>
      </x:c>
      <x:c r="D1067" s="99" t="str">
        <x:v>paper</x:v>
      </x:c>
      <x:c r="E1067" s="99" t="str">
        <x:v>/ˈpeɪpə/</x:v>
      </x:c>
      <x:c r="F1067" s="99" t="str">
        <x:v>用纸包装（注：词表中未标，补充）</x:v>
      </x:c>
      <x:c r="G1067" s="99" t="str">
        <x:v>2. paper /ˈpeɪpə/ 用纸包装（注：词表中未标，补充）</x:v>
      </x:c>
    </x:row>
    <x:row r="1068" ht="18" customHeight="1">
      <x:c r="A1068" s="99" t="str">
        <x:v>P</x:v>
      </x:c>
      <x:c r="B1068" s="99" t="str">
        <x:v>动词</x:v>
      </x:c>
      <x:c r="C1068" s="99" t="n">
        <x:v>3</x:v>
      </x:c>
      <x:c r="D1068" s="99" t="str">
        <x:v>park</x:v>
      </x:c>
      <x:c r="E1068" s="99" t="str">
        <x:v>/pɑːk/</x:v>
      </x:c>
      <x:c r="F1068" s="99" t="str">
        <x:v>停放（车辆）</x:v>
      </x:c>
      <x:c r="G1068" s="99" t="str">
        <x:v>3. park /pɑːk/ 停放（车辆）</x:v>
      </x:c>
    </x:row>
    <x:row r="1069" ht="18" customHeight="1">
      <x:c r="A1069" s="99" t="str">
        <x:v>P</x:v>
      </x:c>
      <x:c r="B1069" s="99" t="str">
        <x:v>动词</x:v>
      </x:c>
      <x:c r="C1069" s="99" t="n">
        <x:v>4</x:v>
      </x:c>
      <x:c r="D1069" s="99" t="str">
        <x:v>part</x:v>
      </x:c>
      <x:c r="E1069" s="99" t="str">
        <x:v>/pɑːt/</x:v>
      </x:c>
      <x:c r="F1069" s="99" t="str">
        <x:v>分离；分开（注：词表中未标，补充）</x:v>
      </x:c>
      <x:c r="G1069" s="99" t="str">
        <x:v>4. part /pɑːt/ 分离；分开（注：词表中未标，补充）</x:v>
      </x:c>
    </x:row>
    <x:row r="1070" ht="18" customHeight="1">
      <x:c r="A1070" s="99" t="str">
        <x:v>P</x:v>
      </x:c>
      <x:c r="B1070" s="99" t="str">
        <x:v>动词</x:v>
      </x:c>
      <x:c r="C1070" s="99" t="n">
        <x:v>5</x:v>
      </x:c>
      <x:c r="D1070" s="99" t="str">
        <x:v>pass</x:v>
      </x:c>
      <x:c r="E1070" s="99" t="str">
        <x:v>/pɑːs/</x:v>
      </x:c>
      <x:c r="F1070" s="99" t="str">
        <x:v>传递；经过；通过（考试）</x:v>
      </x:c>
      <x:c r="G1070" s="99" t="str">
        <x:v>5. pass /pɑːs/ 传递；经过；通过（考试）</x:v>
      </x:c>
    </x:row>
    <x:row r="1071" ht="18" customHeight="1">
      <x:c r="A1071" s="99" t="str">
        <x:v>P</x:v>
      </x:c>
      <x:c r="B1071" s="99" t="str">
        <x:v>动词</x:v>
      </x:c>
      <x:c r="C1071" s="99" t="n">
        <x:v>6</x:v>
      </x:c>
      <x:c r="D1071" s="99" t="str">
        <x:v>pay</x:v>
      </x:c>
      <x:c r="E1071" s="99" t="str">
        <x:v>/peɪ/</x:v>
      </x:c>
      <x:c r="F1071" s="99" t="str">
        <x:v>支付；付钱</x:v>
      </x:c>
      <x:c r="G1071" s="99" t="str">
        <x:v>6. pay /peɪ/ 支付；付钱</x:v>
      </x:c>
    </x:row>
    <x:row r="1072" ht="18" customHeight="1">
      <x:c r="A1072" s="99" t="str">
        <x:v>P</x:v>
      </x:c>
      <x:c r="B1072" s="99" t="str">
        <x:v>动词</x:v>
      </x:c>
      <x:c r="C1072" s="99" t="n">
        <x:v>7</x:v>
      </x:c>
      <x:c r="D1072" s="99" t="str">
        <x:v>PE</x:v>
      </x:c>
      <x:c r="E1072" s="99" t="str">
        <x:v>/piː ˈiː/</x:v>
      </x:c>
      <x:c r="F1072" s="99" t="str">
        <x:v>上体育课（注：名词，此处不重复）</x:v>
      </x:c>
      <x:c r="G1072" s="99" t="str">
        <x:v>7. PE /piː ˈiː/ 上体育课（注：名词，此处不重复）</x:v>
      </x:c>
    </x:row>
    <x:row r="1073" ht="18" customHeight="1">
      <x:c r="A1073" s="99" t="str">
        <x:v>P</x:v>
      </x:c>
      <x:c r="B1073" s="99" t="str">
        <x:v>动词</x:v>
      </x:c>
      <x:c r="C1073" s="99" t="n">
        <x:v>8</x:v>
      </x:c>
      <x:c r="D1073" s="99" t="str">
        <x:v>perform</x:v>
      </x:c>
      <x:c r="E1073" s="99" t="str">
        <x:v>/pəˈfɔːm/</x:v>
      </x:c>
      <x:c r="F1073" s="99" t="str">
        <x:v>表演；执行（注：词表中performance为名词，补充动词）</x:v>
      </x:c>
      <x:c r="G1073" s="99" t="str">
        <x:v>8. perform /pəˈfɔːm/ 表演；执行（注：词表中performance为名词，补充动词）</x:v>
      </x:c>
    </x:row>
    <x:row r="1074" ht="18" customHeight="1">
      <x:c r="A1074" s="99" t="str">
        <x:v>P</x:v>
      </x:c>
      <x:c r="B1074" s="99" t="str">
        <x:v>动词</x:v>
      </x:c>
      <x:c r="C1074" s="99" t="n">
        <x:v>9</x:v>
      </x:c>
      <x:c r="D1074" s="99" t="str">
        <x:v>phone</x:v>
      </x:c>
      <x:c r="E1074" s="99" t="str">
        <x:v>/fəʊn/</x:v>
      </x:c>
      <x:c r="F1074" s="99" t="str">
        <x:v>打电话</x:v>
      </x:c>
      <x:c r="G1074" s="99" t="str">
        <x:v>9. phone /fəʊn/ 打电话</x:v>
      </x:c>
    </x:row>
    <x:row r="1075" ht="18" customHeight="1">
      <x:c r="A1075" s="99" t="str">
        <x:v>P</x:v>
      </x:c>
      <x:c r="B1075" s="99" t="str">
        <x:v>动词</x:v>
      </x:c>
      <x:c r="C1075" s="99" t="n">
        <x:v>10</x:v>
      </x:c>
      <x:c r="D1075" s="99" t="str">
        <x:v>photo</x:v>
      </x:c>
      <x:c r="E1075" s="99" t="str">
        <x:v>/ˈfəʊtəʊ/</x:v>
      </x:c>
      <x:c r="F1075" s="99" t="str">
        <x:v>拍照（注：词表中未标，补充）</x:v>
      </x:c>
      <x:c r="G1075" s="99" t="str">
        <x:v>10. photo /ˈfəʊtəʊ/ 拍照（注：词表中未标，补充）</x:v>
      </x:c>
    </x:row>
    <x:row r="1076" ht="18" customHeight="1">
      <x:c r="A1076" s="99" t="str">
        <x:v>P</x:v>
      </x:c>
      <x:c r="B1076" s="99" t="str">
        <x:v>动词</x:v>
      </x:c>
      <x:c r="C1076" s="99" t="n">
        <x:v>11</x:v>
      </x:c>
      <x:c r="D1076" s="99" t="str">
        <x:v>pick</x:v>
      </x:c>
      <x:c r="E1076" s="99" t="str">
        <x:v>/pɪk/</x:v>
      </x:c>
      <x:c r="F1076" s="99" t="str">
        <x:v>采；摘；挑选</x:v>
      </x:c>
      <x:c r="G1076" s="99" t="str">
        <x:v>11. pick /pɪk/ 采；摘；挑选</x:v>
      </x:c>
    </x:row>
    <x:row r="1077" ht="18" customHeight="1">
      <x:c r="A1077" s="99" t="str">
        <x:v>P</x:v>
      </x:c>
      <x:c r="B1077" s="99" t="str">
        <x:v>动词</x:v>
      </x:c>
      <x:c r="C1077" s="99" t="n">
        <x:v>12</x:v>
      </x:c>
      <x:c r="D1077" s="99" t="str">
        <x:v>picnic</x:v>
      </x:c>
      <x:c r="E1077" s="99" t="str">
        <x:v>/ˈpɪknɪk/</x:v>
      </x:c>
      <x:c r="F1077" s="99" t="str">
        <x:v>去野餐</x:v>
      </x:c>
      <x:c r="G1077" s="99" t="str">
        <x:v>12. picnic /ˈpɪknɪk/ 去野餐</x:v>
      </x:c>
    </x:row>
    <x:row r="1078" ht="18" customHeight="1">
      <x:c r="A1078" s="99" t="str">
        <x:v>P</x:v>
      </x:c>
      <x:c r="B1078" s="99" t="str">
        <x:v>动词</x:v>
      </x:c>
      <x:c r="C1078" s="99" t="n">
        <x:v>13</x:v>
      </x:c>
      <x:c r="D1078" s="99" t="str">
        <x:v>picture</x:v>
      </x:c>
      <x:c r="E1078" s="99" t="str">
        <x:v>/ˈpɪktʃə/</x:v>
      </x:c>
      <x:c r="F1078" s="99" t="str">
        <x:v>描绘；想象（注：词表中未标，补充）</x:v>
      </x:c>
      <x:c r="G1078" s="99" t="str">
        <x:v>13. picture /ˈpɪktʃə/ 描绘；想象（注：词表中未标，补充）</x:v>
      </x:c>
    </x:row>
    <x:row r="1079" ht="18" customHeight="1">
      <x:c r="A1079" s="99" t="str">
        <x:v>P</x:v>
      </x:c>
      <x:c r="B1079" s="99" t="str">
        <x:v>动词</x:v>
      </x:c>
      <x:c r="C1079" s="99" t="n">
        <x:v>14</x:v>
      </x:c>
      <x:c r="D1079" s="99" t="str">
        <x:v>place</x:v>
      </x:c>
      <x:c r="E1079" s="99" t="str">
        <x:v>/pleɪs/</x:v>
      </x:c>
      <x:c r="F1079" s="99" t="str">
        <x:v>放置；安排</x:v>
      </x:c>
      <x:c r="G1079" s="99" t="str">
        <x:v>14. place /pleɪs/ 放置；安排</x:v>
      </x:c>
    </x:row>
    <x:row r="1080" ht="18" customHeight="1">
      <x:c r="A1080" s="99" t="str">
        <x:v>P</x:v>
      </x:c>
      <x:c r="B1080" s="99" t="str">
        <x:v>动词</x:v>
      </x:c>
      <x:c r="C1080" s="99" t="n">
        <x:v>15</x:v>
      </x:c>
      <x:c r="D1080" s="99" t="str">
        <x:v>plant</x:v>
      </x:c>
      <x:c r="E1080" s="99" t="str">
        <x:v>/plɑːnt/</x:v>
      </x:c>
      <x:c r="F1080" s="99" t="str">
        <x:v>种植</x:v>
      </x:c>
      <x:c r="G1080" s="99" t="str">
        <x:v>15. plant /plɑːnt/ 种植</x:v>
      </x:c>
    </x:row>
    <x:row r="1081" ht="18" customHeight="1">
      <x:c r="A1081" s="99" t="str">
        <x:v>P</x:v>
      </x:c>
      <x:c r="B1081" s="99" t="str">
        <x:v>动词</x:v>
      </x:c>
      <x:c r="C1081" s="99" t="n">
        <x:v>16</x:v>
      </x:c>
      <x:c r="D1081" s="99" t="str">
        <x:v>play</x:v>
      </x:c>
      <x:c r="E1081" s="99" t="str">
        <x:v>/pleɪ/</x:v>
      </x:c>
      <x:c r="F1081" s="99" t="str">
        <x:v>玩；打（球）；演奏；扮演</x:v>
      </x:c>
      <x:c r="G1081" s="99" t="str">
        <x:v>16. play /pleɪ/ 玩；打（球）；演奏；扮演</x:v>
      </x:c>
    </x:row>
    <x:row r="1082" ht="18" customHeight="1">
      <x:c r="A1082" s="99" t="str">
        <x:v>P</x:v>
      </x:c>
      <x:c r="B1082" s="99" t="str">
        <x:v>动词</x:v>
      </x:c>
      <x:c r="C1082" s="99" t="n">
        <x:v>17</x:v>
      </x:c>
      <x:c r="D1082" s="99" t="str">
        <x:v>please</x:v>
      </x:c>
      <x:c r="E1082" s="99" t="str">
        <x:v>/pliːz/</x:v>
      </x:c>
      <x:c r="F1082" s="99" t="str">
        <x:v>请；使高兴</x:v>
      </x:c>
      <x:c r="G1082" s="99" t="str">
        <x:v>17. please /pliːz/ 请；使高兴</x:v>
      </x:c>
    </x:row>
    <x:row r="1083" ht="18" customHeight="1">
      <x:c r="A1083" s="99" t="str">
        <x:v>P</x:v>
      </x:c>
      <x:c r="B1083" s="99" t="str">
        <x:v>动词</x:v>
      </x:c>
      <x:c r="C1083" s="99" t="n">
        <x:v>18</x:v>
      </x:c>
      <x:c r="D1083" s="99" t="str">
        <x:v>point</x:v>
      </x:c>
      <x:c r="E1083" s="99" t="str">
        <x:v>/pɔɪnt/</x:v>
      </x:c>
      <x:c r="F1083" s="99" t="str">
        <x:v>指向；指</x:v>
      </x:c>
      <x:c r="G1083" s="99" t="str">
        <x:v>18. point /pɔɪnt/ 指向；指</x:v>
      </x:c>
    </x:row>
    <x:row r="1084" ht="18" customHeight="1">
      <x:c r="A1084" s="99" t="str">
        <x:v>P</x:v>
      </x:c>
      <x:c r="B1084" s="99" t="str">
        <x:v>动词</x:v>
      </x:c>
      <x:c r="C1084" s="99" t="n">
        <x:v>19</x:v>
      </x:c>
      <x:c r="D1084" s="99" t="str">
        <x:v>police</x:v>
      </x:c>
      <x:c r="E1084" s="99" t="str">
        <x:v>/pəˈliːs/</x:v>
      </x:c>
      <x:c r="F1084" s="99" t="str">
        <x:v>维持治安（注：名词，此处不重复）</x:v>
      </x:c>
      <x:c r="G1084" s="99" t="str">
        <x:v>19. police /pəˈliːs/ 维持治安（注：名词，此处不重复）</x:v>
      </x:c>
    </x:row>
    <x:row r="1085" ht="18" customHeight="1">
      <x:c r="A1085" s="99" t="str">
        <x:v>P</x:v>
      </x:c>
      <x:c r="B1085" s="99" t="str">
        <x:v>动词</x:v>
      </x:c>
      <x:c r="C1085" s="99" t="n">
        <x:v>20</x:v>
      </x:c>
      <x:c r="D1085" s="99" t="str">
        <x:v>pollute</x:v>
      </x:c>
      <x:c r="E1085" s="99" t="str">
        <x:v>/pəˈluːt/</x:v>
      </x:c>
      <x:c r="F1085" s="99" t="str">
        <x:v>污染</x:v>
      </x:c>
      <x:c r="G1085" s="99" t="str">
        <x:v>20. pollute /pəˈluːt/ 污染</x:v>
      </x:c>
    </x:row>
    <x:row r="1086" ht="18" customHeight="1">
      <x:c r="A1086" s="99" t="str">
        <x:v>P</x:v>
      </x:c>
      <x:c r="B1086" s="99" t="str">
        <x:v>动词</x:v>
      </x:c>
      <x:c r="C1086" s="99" t="n">
        <x:v>21</x:v>
      </x:c>
      <x:c r="D1086" s="99" t="str">
        <x:v>poor</x:v>
      </x:c>
      <x:c r="E1086" s="99" t="str">
        <x:v>/pʊə/</x:v>
      </x:c>
      <x:c r="F1086" s="99" t="str">
        <x:v>使贫穷（注：词表中未标，补充）</x:v>
      </x:c>
      <x:c r="G1086" s="99" t="str">
        <x:v>21. poor /pʊə/ 使贫穷（注：词表中未标，补充）</x:v>
      </x:c>
    </x:row>
    <x:row r="1087" ht="18" customHeight="1">
      <x:c r="A1087" s="99" t="str">
        <x:v>P</x:v>
      </x:c>
      <x:c r="B1087" s="99" t="str">
        <x:v>动词</x:v>
      </x:c>
      <x:c r="C1087" s="99" t="n">
        <x:v>22</x:v>
      </x:c>
      <x:c r="D1087" s="99" t="str">
        <x:v>post</x:v>
      </x:c>
      <x:c r="E1087" s="99" t="str">
        <x:v>/pəʊst/</x:v>
      </x:c>
      <x:c r="F1087" s="99" t="str">
        <x:v>邮寄；张贴</x:v>
      </x:c>
      <x:c r="G1087" s="99" t="str">
        <x:v>22. post /pəʊst/ 邮寄；张贴</x:v>
      </x:c>
    </x:row>
    <x:row r="1088" ht="18" customHeight="1">
      <x:c r="A1088" s="99" t="str">
        <x:v>P</x:v>
      </x:c>
      <x:c r="B1088" s="99" t="str">
        <x:v>动词</x:v>
      </x:c>
      <x:c r="C1088" s="99" t="n">
        <x:v>23</x:v>
      </x:c>
      <x:c r="D1088" s="99" t="str">
        <x:v>practice</x:v>
      </x:c>
      <x:c r="E1088" s="99" t="str">
        <x:v>/ˈpræktɪs/</x:v>
      </x:c>
      <x:c r="F1088" s="99" t="str">
        <x:v>练习；实践</x:v>
      </x:c>
      <x:c r="G1088" s="99" t="str">
        <x:v>23. practice /ˈpræktɪs/ 练习；实践</x:v>
      </x:c>
    </x:row>
    <x:row r="1089" ht="18" customHeight="1">
      <x:c r="A1089" s="99" t="str">
        <x:v>P</x:v>
      </x:c>
      <x:c r="B1089" s="99" t="str">
        <x:v>动词</x:v>
      </x:c>
      <x:c r="C1089" s="99" t="n">
        <x:v>24</x:v>
      </x:c>
      <x:c r="D1089" s="99" t="str">
        <x:v>predict</x:v>
      </x:c>
      <x:c r="E1089" s="99" t="str">
        <x:v>/prɪˈdɪkt/</x:v>
      </x:c>
      <x:c r="F1089" s="99" t="str">
        <x:v>预测；预言</x:v>
      </x:c>
      <x:c r="G1089" s="99" t="str">
        <x:v>24. predict /prɪˈdɪkt/ 预测；预言</x:v>
      </x:c>
    </x:row>
    <x:row r="1090" ht="18" customHeight="1">
      <x:c r="A1090" s="99" t="str">
        <x:v>P</x:v>
      </x:c>
      <x:c r="B1090" s="99" t="str">
        <x:v>动词</x:v>
      </x:c>
      <x:c r="C1090" s="99" t="n">
        <x:v>25</x:v>
      </x:c>
      <x:c r="D1090" s="99" t="str">
        <x:v>prefer</x:v>
      </x:c>
      <x:c r="E1090" s="99" t="str">
        <x:v>/prɪˈfɜː/</x:v>
      </x:c>
      <x:c r="F1090" s="99" t="str">
        <x:v>更喜欢</x:v>
      </x:c>
      <x:c r="G1090" s="99" t="str">
        <x:v>25. prefer /prɪˈfɜː/ 更喜欢</x:v>
      </x:c>
    </x:row>
    <x:row r="1091" ht="18" customHeight="1">
      <x:c r="A1091" s="99" t="str">
        <x:v>P</x:v>
      </x:c>
      <x:c r="B1091" s="99" t="str">
        <x:v>动词</x:v>
      </x:c>
      <x:c r="C1091" s="99" t="n">
        <x:v>26</x:v>
      </x:c>
      <x:c r="D1091" s="99" t="str">
        <x:v>prepare</x:v>
      </x:c>
      <x:c r="E1091" s="99" t="str">
        <x:v>/prɪˈpeə/</x:v>
      </x:c>
      <x:c r="F1091" s="99" t="str">
        <x:v>准备；预备</x:v>
      </x:c>
      <x:c r="G1091" s="99" t="str">
        <x:v>26. prepare /prɪˈpeə/ 准备；预备</x:v>
      </x:c>
    </x:row>
    <x:row r="1092" ht="18" customHeight="1">
      <x:c r="A1092" s="99" t="str">
        <x:v>P</x:v>
      </x:c>
      <x:c r="B1092" s="99" t="str">
        <x:v>动词</x:v>
      </x:c>
      <x:c r="C1092" s="99" t="n">
        <x:v>27</x:v>
      </x:c>
      <x:c r="D1092" s="99" t="str">
        <x:v>present</x:v>
      </x:c>
      <x:c r="E1092" s="99" t="str">
        <x:v>/prɪˈzent/</x:v>
      </x:c>
      <x:c r="F1092" s="99" t="str">
        <x:v>赠送；颁发；呈现</x:v>
      </x:c>
      <x:c r="G1092" s="99" t="str">
        <x:v>27. present /prɪˈzent/ 赠送；颁发；呈现</x:v>
      </x:c>
    </x:row>
    <x:row r="1093" ht="18" customHeight="1">
      <x:c r="A1093" s="99" t="str">
        <x:v>P</x:v>
      </x:c>
      <x:c r="B1093" s="99" t="str">
        <x:v>动词</x:v>
      </x:c>
      <x:c r="C1093" s="99" t="n">
        <x:v>28</x:v>
      </x:c>
      <x:c r="D1093" s="99" t="str">
        <x:v>press</x:v>
      </x:c>
      <x:c r="E1093" s="99" t="str">
        <x:v>/pres/</x:v>
      </x:c>
      <x:c r="F1093" s="99" t="str">
        <x:v>压；按（注：词表中未标，补充）</x:v>
      </x:c>
      <x:c r="G1093" s="99" t="str">
        <x:v>28. press /pres/ 压；按（注：词表中未标，补充）</x:v>
      </x:c>
    </x:row>
    <x:row r="1094" ht="18" customHeight="1">
      <x:c r="A1094" s="99" t="str">
        <x:v>P</x:v>
      </x:c>
      <x:c r="B1094" s="99" t="str">
        <x:v>动词</x:v>
      </x:c>
      <x:c r="C1094" s="99" t="n">
        <x:v>29</x:v>
      </x:c>
      <x:c r="D1094" s="99" t="str">
        <x:v>pretend</x:v>
      </x:c>
      <x:c r="E1094" s="99" t="str">
        <x:v>/prɪˈtend/</x:v>
      </x:c>
      <x:c r="F1094" s="99" t="str">
        <x:v>假装（注：词表中未标，补充）</x:v>
      </x:c>
      <x:c r="G1094" s="99" t="str">
        <x:v>29. pretend /prɪˈtend/ 假装（注：词表中未标，补充）</x:v>
      </x:c>
    </x:row>
    <x:row r="1095" ht="18" customHeight="1">
      <x:c r="A1095" s="99" t="str">
        <x:v>P</x:v>
      </x:c>
      <x:c r="B1095" s="99" t="str">
        <x:v>动词</x:v>
      </x:c>
      <x:c r="C1095" s="99" t="n">
        <x:v>30</x:v>
      </x:c>
      <x:c r="D1095" s="99" t="str">
        <x:v>prevent</x:v>
      </x:c>
      <x:c r="E1095" s="99" t="str">
        <x:v>/prɪˈvent/</x:v>
      </x:c>
      <x:c r="F1095" s="99" t="str">
        <x:v>阻止；预防（注：词表中未标，补充）</x:v>
      </x:c>
      <x:c r="G1095" s="99" t="str">
        <x:v>30. prevent /prɪˈvent/ 阻止；预防（注：词表中未标，补充）</x:v>
      </x:c>
    </x:row>
    <x:row r="1096" ht="18" customHeight="1">
      <x:c r="A1096" s="99" t="str">
        <x:v>P</x:v>
      </x:c>
      <x:c r="B1096" s="99" t="str">
        <x:v>动词</x:v>
      </x:c>
      <x:c r="C1096" s="99" t="n">
        <x:v>31</x:v>
      </x:c>
      <x:c r="D1096" s="99" t="str">
        <x:v>print</x:v>
      </x:c>
      <x:c r="E1096" s="99" t="str">
        <x:v>/prɪnt/</x:v>
      </x:c>
      <x:c r="F1096" s="99" t="str">
        <x:v>打印；印刷</x:v>
      </x:c>
      <x:c r="G1096" s="99" t="str">
        <x:v>31. print /prɪnt/ 打印；印刷</x:v>
      </x:c>
    </x:row>
    <x:row r="1097" ht="18" customHeight="1">
      <x:c r="A1097" s="99" t="str">
        <x:v>P</x:v>
      </x:c>
      <x:c r="B1097" s="99" t="str">
        <x:v>动词</x:v>
      </x:c>
      <x:c r="C1097" s="99" t="n">
        <x:v>32</x:v>
      </x:c>
      <x:c r="D1097" s="99" t="str">
        <x:v>produce</x:v>
      </x:c>
      <x:c r="E1097" s="99" t="str">
        <x:v>/prəˈdjuːs/</x:v>
      </x:c>
      <x:c r="F1097" s="99" t="str">
        <x:v>生产；制造；产生</x:v>
      </x:c>
      <x:c r="G1097" s="99" t="str">
        <x:v>32. produce /prəˈdjuːs/ 生产；制造；产生</x:v>
      </x:c>
    </x:row>
    <x:row r="1098" ht="18" customHeight="1">
      <x:c r="A1098" s="99" t="str">
        <x:v>P</x:v>
      </x:c>
      <x:c r="B1098" s="99" t="str">
        <x:v>动词</x:v>
      </x:c>
      <x:c r="C1098" s="99" t="n">
        <x:v>33</x:v>
      </x:c>
      <x:c r="D1098" s="99" t="str">
        <x:v>progress</x:v>
      </x:c>
      <x:c r="E1098" s="99" t="str">
        <x:v>/prəˈɡres/</x:v>
      </x:c>
      <x:c r="F1098" s="99" t="str">
        <x:v>进步；进展</x:v>
      </x:c>
      <x:c r="G1098" s="99" t="str">
        <x:v>33. progress /prəˈɡres/ 进步；进展</x:v>
      </x:c>
    </x:row>
    <x:row r="1099" ht="18" customHeight="1">
      <x:c r="A1099" s="99" t="str">
        <x:v>P</x:v>
      </x:c>
      <x:c r="B1099" s="99" t="str">
        <x:v>动词</x:v>
      </x:c>
      <x:c r="C1099" s="99" t="n">
        <x:v>34</x:v>
      </x:c>
      <x:c r="D1099" s="99" t="str">
        <x:v>project</x:v>
      </x:c>
      <x:c r="E1099" s="99" t="str">
        <x:v>/prəˈdʒekt/</x:v>
      </x:c>
      <x:c r="F1099" s="99" t="str">
        <x:v>计划；投射（注：名词/动词，此处动词义）</x:v>
      </x:c>
      <x:c r="G1099" s="99" t="str">
        <x:v>34. project /prəˈdʒekt/ 计划；投射（注：名词/动词，此处动词义）</x:v>
      </x:c>
    </x:row>
    <x:row r="1100" ht="18" customHeight="1">
      <x:c r="A1100" s="99" t="str">
        <x:v>P</x:v>
      </x:c>
      <x:c r="B1100" s="99" t="str">
        <x:v>动词</x:v>
      </x:c>
      <x:c r="C1100" s="99" t="n">
        <x:v>35</x:v>
      </x:c>
      <x:c r="D1100" s="99" t="str">
        <x:v>promise</x:v>
      </x:c>
      <x:c r="E1100" s="99" t="str">
        <x:v>/ˈprɒmɪs/</x:v>
      </x:c>
      <x:c r="F1100" s="99" t="str">
        <x:v>承诺；答应</x:v>
      </x:c>
      <x:c r="G1100" s="99" t="str">
        <x:v>35. promise /ˈprɒmɪs/ 承诺；答应</x:v>
      </x:c>
    </x:row>
    <x:row r="1101" ht="18" customHeight="1">
      <x:c r="A1101" s="99" t="str">
        <x:v>P</x:v>
      </x:c>
      <x:c r="B1101" s="99" t="str">
        <x:v>动词</x:v>
      </x:c>
      <x:c r="C1101" s="99" t="n">
        <x:v>36</x:v>
      </x:c>
      <x:c r="D1101" s="99" t="str">
        <x:v>pronounce</x:v>
      </x:c>
      <x:c r="E1101" s="99" t="str">
        <x:v>/prəˈnaʊns/</x:v>
      </x:c>
      <x:c r="F1101" s="99" t="str">
        <x:v>发音；宣告</x:v>
      </x:c>
      <x:c r="G1101" s="99" t="str">
        <x:v>36. pronounce /prəˈnaʊns/ 发音；宣告</x:v>
      </x:c>
    </x:row>
    <x:row r="1102" ht="18" customHeight="1">
      <x:c r="A1102" s="99" t="str">
        <x:v>P</x:v>
      </x:c>
      <x:c r="B1102" s="99" t="str">
        <x:v>动词</x:v>
      </x:c>
      <x:c r="C1102" s="99" t="n">
        <x:v>37</x:v>
      </x:c>
      <x:c r="D1102" s="99" t="str">
        <x:v>protect</x:v>
      </x:c>
      <x:c r="E1102" s="99" t="str">
        <x:v>/prəˈtekt/</x:v>
      </x:c>
      <x:c r="F1102" s="99" t="str">
        <x:v>保护</x:v>
      </x:c>
      <x:c r="G1102" s="99" t="str">
        <x:v>37. protect /prəˈtekt/ 保护</x:v>
      </x:c>
    </x:row>
    <x:row r="1103" ht="18" customHeight="1">
      <x:c r="A1103" s="99" t="str">
        <x:v>P</x:v>
      </x:c>
      <x:c r="B1103" s="99" t="str">
        <x:v>动词</x:v>
      </x:c>
      <x:c r="C1103" s="99" t="n">
        <x:v>38</x:v>
      </x:c>
      <x:c r="D1103" s="99" t="str">
        <x:v>prove</x:v>
      </x:c>
      <x:c r="E1103" s="99" t="str">
        <x:v>/pruːv/</x:v>
      </x:c>
      <x:c r="F1103" s="99" t="str">
        <x:v>证明；证实</x:v>
      </x:c>
      <x:c r="G1103" s="99" t="str">
        <x:v>38. prove /pruːv/ 证明；证实</x:v>
      </x:c>
    </x:row>
    <x:row r="1104" ht="18" customHeight="1">
      <x:c r="A1104" s="99" t="str">
        <x:v>P</x:v>
      </x:c>
      <x:c r="B1104" s="99" t="str">
        <x:v>动词</x:v>
      </x:c>
      <x:c r="C1104" s="99" t="n">
        <x:v>39</x:v>
      </x:c>
      <x:c r="D1104" s="99" t="str">
        <x:v>provide</x:v>
      </x:c>
      <x:c r="E1104" s="99" t="str">
        <x:v>/prəˈvaɪd/</x:v>
      </x:c>
      <x:c r="F1104" s="99" t="str">
        <x:v>提供；供应</x:v>
      </x:c>
      <x:c r="G1104" s="99" t="str">
        <x:v>39. provide /prəˈvaɪd/ 提供；供应</x:v>
      </x:c>
    </x:row>
    <x:row r="1105" ht="18" customHeight="1">
      <x:c r="A1105" s="99" t="str">
        <x:v>P</x:v>
      </x:c>
      <x:c r="B1105" s="99" t="str">
        <x:v>动词</x:v>
      </x:c>
      <x:c r="C1105" s="99" t="n">
        <x:v>40</x:v>
      </x:c>
      <x:c r="D1105" s="99" t="str">
        <x:v>pull</x:v>
      </x:c>
      <x:c r="E1105" s="99" t="str">
        <x:v>/pʊl/</x:v>
      </x:c>
      <x:c r="F1105" s="99" t="str">
        <x:v>拉；拽；扯</x:v>
      </x:c>
      <x:c r="G1105" s="99" t="str">
        <x:v>40. pull /pʊl/ 拉；拽；扯</x:v>
      </x:c>
    </x:row>
    <x:row r="1106" ht="18" customHeight="1">
      <x:c r="A1106" s="99" t="str">
        <x:v>P</x:v>
      </x:c>
      <x:c r="B1106" s="99" t="str">
        <x:v>动词</x:v>
      </x:c>
      <x:c r="C1106" s="99" t="n">
        <x:v>41</x:v>
      </x:c>
      <x:c r="D1106" s="99" t="str">
        <x:v>push</x:v>
      </x:c>
      <x:c r="E1106" s="99" t="str">
        <x:v>/pʊʃ/</x:v>
      </x:c>
      <x:c r="F1106" s="99" t="str">
        <x:v>推；推动</x:v>
      </x:c>
      <x:c r="G1106" s="99" t="str">
        <x:v>41. push /pʊʃ/ 推；推动</x:v>
      </x:c>
    </x:row>
    <x:row r="1107" ht="18" customHeight="1">
      <x:c r="A1107" s="99" t="str">
        <x:v>P</x:v>
      </x:c>
      <x:c r="B1107" s="99" t="str">
        <x:v>动词</x:v>
      </x:c>
      <x:c r="C1107" s="99" t="n">
        <x:v>42</x:v>
      </x:c>
      <x:c r="D1107" s="99" t="str">
        <x:v>put</x:v>
      </x:c>
      <x:c r="E1107" s="99" t="str">
        <x:v>/pʊt/</x:v>
      </x:c>
      <x:c r="F1107" s="99" t="str">
        <x:v>放；摆；安置</x:v>
      </x:c>
      <x:c r="G1107" s="99" t="str">
        <x:v>42. put /pʊt/ 放；摆；安置</x:v>
      </x:c>
    </x:row>
    <x:row r="1108" ht="18" customHeight="1">
      <x:c r="A1108" s="99" t="str">
        <x:v>P</x:v>
      </x:c>
      <x:c r="B1108" s="99" t="str">
        <x:v>形容词</x:v>
      </x:c>
      <x:c r="C1108" s="99" t="n">
        <x:v>1</x:v>
      </x:c>
      <x:c r="D1108" s="99" t="str">
        <x:v>Pacific</x:v>
      </x:c>
      <x:c r="E1108" s="99" t="str">
        <x:v>/pəˈsɪfɪk/</x:v>
      </x:c>
      <x:c r="F1108" s="99" t="str">
        <x:v>太平洋的</x:v>
      </x:c>
      <x:c r="G1108" s="99" t="str">
        <x:v>1. Pacific /pəˈsɪfɪk/ 太平洋的</x:v>
      </x:c>
    </x:row>
    <x:row r="1109" ht="18" customHeight="1">
      <x:c r="A1109" s="99" t="str">
        <x:v>P</x:v>
      </x:c>
      <x:c r="B1109" s="99" t="str">
        <x:v>形容词</x:v>
      </x:c>
      <x:c r="C1109" s="99" t="n">
        <x:v>2</x:v>
      </x:c>
      <x:c r="D1109" s="99" t="str">
        <x:v>painful</x:v>
      </x:c>
      <x:c r="E1109" s="99" t="str">
        <x:v>/ˈpeɪnfl/</x:v>
      </x:c>
      <x:c r="F1109" s="99" t="str">
        <x:v>疼痛的；令人痛苦的</x:v>
      </x:c>
      <x:c r="G1109" s="99" t="str">
        <x:v>2. painful /ˈpeɪnfl/ 疼痛的；令人痛苦的</x:v>
      </x:c>
    </x:row>
    <x:row r="1110" ht="18" customHeight="1">
      <x:c r="A1110" s="99" t="str">
        <x:v>P</x:v>
      </x:c>
      <x:c r="B1110" s="99" t="str">
        <x:v>形容词</x:v>
      </x:c>
      <x:c r="C1110" s="99" t="n">
        <x:v>3</x:v>
      </x:c>
      <x:c r="D1110" s="99" t="str">
        <x:v>pale</x:v>
      </x:c>
      <x:c r="E1110" s="99" t="str">
        <x:v>/peɪl/</x:v>
      </x:c>
      <x:c r="F1110" s="99" t="str">
        <x:v>苍白的；浅色的</x:v>
      </x:c>
      <x:c r="G1110" s="99" t="str">
        <x:v>3. pale /peɪl/ 苍白的；浅色的</x:v>
      </x:c>
    </x:row>
    <x:row r="1111" ht="18" customHeight="1">
      <x:c r="A1111" s="99" t="str">
        <x:v>P</x:v>
      </x:c>
      <x:c r="B1111" s="99" t="str">
        <x:v>形容词</x:v>
      </x:c>
      <x:c r="C1111" s="99" t="n">
        <x:v>4</x:v>
      </x:c>
      <x:c r="D1111" s="99" t="str">
        <x:v>perfect</x:v>
      </x:c>
      <x:c r="E1111" s="99" t="str">
        <x:v>/ˈpɜːfɪkt/</x:v>
      </x:c>
      <x:c r="F1111" s="99" t="str">
        <x:v>完美的；极好的</x:v>
      </x:c>
      <x:c r="G1111" s="99" t="str">
        <x:v>4. perfect /ˈpɜːfɪkt/ 完美的；极好的</x:v>
      </x:c>
    </x:row>
    <x:row r="1112" ht="18" customHeight="1">
      <x:c r="A1112" s="99" t="str">
        <x:v>P</x:v>
      </x:c>
      <x:c r="B1112" s="99" t="str">
        <x:v>形容词</x:v>
      </x:c>
      <x:c r="C1112" s="99" t="n">
        <x:v>5</x:v>
      </x:c>
      <x:c r="D1112" s="99" t="str">
        <x:v>personal</x:v>
      </x:c>
      <x:c r="E1112" s="99" t="str">
        <x:v>/ˈpɜːsənl/</x:v>
      </x:c>
      <x:c r="F1112" s="99" t="str">
        <x:v>个人的；私人的</x:v>
      </x:c>
      <x:c r="G1112" s="99" t="str">
        <x:v>5. personal /ˈpɜːsənl/ 个人的；私人的</x:v>
      </x:c>
    </x:row>
    <x:row r="1113" ht="18" customHeight="1">
      <x:c r="A1113" s="99" t="str">
        <x:v>P</x:v>
      </x:c>
      <x:c r="B1113" s="99" t="str">
        <x:v>形容词</x:v>
      </x:c>
      <x:c r="C1113" s="99" t="n">
        <x:v>6</x:v>
      </x:c>
      <x:c r="D1113" s="99" t="str">
        <x:v>pink</x:v>
      </x:c>
      <x:c r="E1113" s="99" t="str">
        <x:v>/pɪŋk/</x:v>
      </x:c>
      <x:c r="F1113" s="99" t="str">
        <x:v>粉红色的</x:v>
      </x:c>
      <x:c r="G1113" s="99" t="str">
        <x:v>6. pink /pɪŋk/ 粉红色的</x:v>
      </x:c>
    </x:row>
    <x:row r="1114" ht="18" customHeight="1">
      <x:c r="A1114" s="99" t="str">
        <x:v>P</x:v>
      </x:c>
      <x:c r="B1114" s="99" t="str">
        <x:v>形容词</x:v>
      </x:c>
      <x:c r="C1114" s="99" t="n">
        <x:v>7</x:v>
      </x:c>
      <x:c r="D1114" s="99" t="str">
        <x:v>plain</x:v>
      </x:c>
      <x:c r="E1114" s="99" t="str">
        <x:v>/pleɪn/</x:v>
      </x:c>
      <x:c r="F1114" s="99" t="str">
        <x:v>朴素的；简单的（注：词表中未标，补充）</x:v>
      </x:c>
      <x:c r="G1114" s="99" t="str">
        <x:v>7. plain /pleɪn/ 朴素的；简单的（注：词表中未标，补充）</x:v>
      </x:c>
    </x:row>
    <x:row r="1115" ht="18" customHeight="1">
      <x:c r="A1115" s="99" t="str">
        <x:v>P</x:v>
      </x:c>
      <x:c r="B1115" s="99" t="str">
        <x:v>形容词</x:v>
      </x:c>
      <x:c r="C1115" s="99" t="n">
        <x:v>8</x:v>
      </x:c>
      <x:c r="D1115" s="99" t="str">
        <x:v>plastic</x:v>
      </x:c>
      <x:c r="E1115" s="99" t="str">
        <x:v>/ˈplæstɪk/</x:v>
      </x:c>
      <x:c r="F1115" s="99" t="str">
        <x:v>塑料的</x:v>
      </x:c>
      <x:c r="G1115" s="99" t="str">
        <x:v>8. plastic /ˈplæstɪk/ 塑料的</x:v>
      </x:c>
    </x:row>
    <x:row r="1116" ht="18" customHeight="1">
      <x:c r="A1116" s="99" t="str">
        <x:v>P</x:v>
      </x:c>
      <x:c r="B1116" s="99" t="str">
        <x:v>形容词</x:v>
      </x:c>
      <x:c r="C1116" s="99" t="n">
        <x:v>9</x:v>
      </x:c>
      <x:c r="D1116" s="99" t="str">
        <x:v>pleasant</x:v>
      </x:c>
      <x:c r="E1116" s="99" t="str">
        <x:v>/ˈpleznt/</x:v>
      </x:c>
      <x:c r="F1116" s="99" t="str">
        <x:v>令人愉快的；舒适的</x:v>
      </x:c>
      <x:c r="G1116" s="99" t="str">
        <x:v>9. pleasant /ˈpleznt/ 令人愉快的；舒适的</x:v>
      </x:c>
    </x:row>
    <x:row r="1117" ht="18" customHeight="1">
      <x:c r="A1117" s="99" t="str">
        <x:v>P</x:v>
      </x:c>
      <x:c r="B1117" s="99" t="str">
        <x:v>形容词</x:v>
      </x:c>
      <x:c r="C1117" s="99" t="n">
        <x:v>10</x:v>
      </x:c>
      <x:c r="D1117" s="99" t="str">
        <x:v>polite</x:v>
      </x:c>
      <x:c r="E1117" s="99" t="str">
        <x:v>/pəˈlaɪt/</x:v>
      </x:c>
      <x:c r="F1117" s="99" t="str">
        <x:v>有礼貌的；客气的</x:v>
      </x:c>
      <x:c r="G1117" s="99" t="str">
        <x:v>10. polite /pəˈlaɪt/ 有礼貌的；客气的</x:v>
      </x:c>
    </x:row>
    <x:row r="1118" ht="18" customHeight="1">
      <x:c r="A1118" s="99" t="str">
        <x:v>P</x:v>
      </x:c>
      <x:c r="B1118" s="99" t="str">
        <x:v>形容词</x:v>
      </x:c>
      <x:c r="C1118" s="99" t="n">
        <x:v>11</x:v>
      </x:c>
      <x:c r="D1118" s="99" t="str">
        <x:v>poor</x:v>
      </x:c>
      <x:c r="E1118" s="99" t="str">
        <x:v>/pʊə/</x:v>
      </x:c>
      <x:c r="F1118" s="99" t="str">
        <x:v>贫穷的；可怜的；差的</x:v>
      </x:c>
      <x:c r="G1118" s="99" t="str">
        <x:v>11. poor /pʊə/ 贫穷的；可怜的；差的</x:v>
      </x:c>
    </x:row>
    <x:row r="1119" ht="18" customHeight="1">
      <x:c r="A1119" s="99" t="str">
        <x:v>P</x:v>
      </x:c>
      <x:c r="B1119" s="99" t="str">
        <x:v>形容词</x:v>
      </x:c>
      <x:c r="C1119" s="99" t="n">
        <x:v>12</x:v>
      </x:c>
      <x:c r="D1119" s="99" t="str">
        <x:v>popular</x:v>
      </x:c>
      <x:c r="E1119" s="99" t="str">
        <x:v>/ˈpɒpjələ/</x:v>
      </x:c>
      <x:c r="F1119" s="99" t="str">
        <x:v>流行的；受欢迎的</x:v>
      </x:c>
      <x:c r="G1119" s="99" t="str">
        <x:v>12. popular /ˈpɒpjələ/ 流行的；受欢迎的</x:v>
      </x:c>
    </x:row>
    <x:row r="1120" ht="18" customHeight="1">
      <x:c r="A1120" s="99" t="str">
        <x:v>P</x:v>
      </x:c>
      <x:c r="B1120" s="99" t="str">
        <x:v>形容词</x:v>
      </x:c>
      <x:c r="C1120" s="99" t="n">
        <x:v>13</x:v>
      </x:c>
      <x:c r="D1120" s="99" t="str">
        <x:v>possible</x:v>
      </x:c>
      <x:c r="E1120" s="99" t="str">
        <x:v>/ˈpɒsəbl/</x:v>
      </x:c>
      <x:c r="F1120" s="99" t="str">
        <x:v>可能的</x:v>
      </x:c>
      <x:c r="G1120" s="99" t="str">
        <x:v>13. possible /ˈpɒsəbl/ 可能的</x:v>
      </x:c>
    </x:row>
    <x:row r="1121" ht="18" customHeight="1">
      <x:c r="A1121" s="99" t="str">
        <x:v>P</x:v>
      </x:c>
      <x:c r="B1121" s="99" t="str">
        <x:v>形容词</x:v>
      </x:c>
      <x:c r="C1121" s="99" t="n">
        <x:v>14</x:v>
      </x:c>
      <x:c r="D1121" s="99" t="str">
        <x:v>powerful</x:v>
      </x:c>
      <x:c r="E1121" s="99" t="str">
        <x:v>/ˈpaʊəfl/</x:v>
      </x:c>
      <x:c r="F1121" s="99" t="str">
        <x:v>强大的；有力的（注：词表中未标，补充）</x:v>
      </x:c>
      <x:c r="G1121" s="99" t="str">
        <x:v>14. powerful /ˈpaʊəfl/ 强大的；有力的（注：词表中未标，补充）</x:v>
      </x:c>
    </x:row>
    <x:row r="1122" ht="18" customHeight="1">
      <x:c r="A1122" s="99" t="str">
        <x:v>P</x:v>
      </x:c>
      <x:c r="B1122" s="99" t="str">
        <x:v>形容词</x:v>
      </x:c>
      <x:c r="C1122" s="99" t="n">
        <x:v>15</x:v>
      </x:c>
      <x:c r="D1122" s="99" t="str">
        <x:v>practical</x:v>
      </x:c>
      <x:c r="E1122" s="99" t="str">
        <x:v>/ˈpræktɪkl/</x:v>
      </x:c>
      <x:c r="F1122" s="99" t="str">
        <x:v>实际的；实用的（注：词表中未标，补充）</x:v>
      </x:c>
      <x:c r="G1122" s="99" t="str">
        <x:v>15. practical /ˈpræktɪkl/ 实际的；实用的（注：词表中未标，补充）</x:v>
      </x:c>
    </x:row>
    <x:row r="1123" ht="18" customHeight="1">
      <x:c r="A1123" s="99" t="str">
        <x:v>P</x:v>
      </x:c>
      <x:c r="B1123" s="99" t="str">
        <x:v>形容词</x:v>
      </x:c>
      <x:c r="C1123" s="99" t="n">
        <x:v>16</x:v>
      </x:c>
      <x:c r="D1123" s="99" t="str">
        <x:v>precious</x:v>
      </x:c>
      <x:c r="E1123" s="99" t="str">
        <x:v>/ˈpreʃəs/</x:v>
      </x:c>
      <x:c r="F1123" s="99" t="str">
        <x:v>珍贵的（注：词表中未标，补充）</x:v>
      </x:c>
      <x:c r="G1123" s="99" t="str">
        <x:v>16. precious /ˈpreʃəs/ 珍贵的（注：词表中未标，补充）</x:v>
      </x:c>
    </x:row>
    <x:row r="1124" ht="18" customHeight="1">
      <x:c r="A1124" s="99" t="str">
        <x:v>P</x:v>
      </x:c>
      <x:c r="B1124" s="99" t="str">
        <x:v>形容词</x:v>
      </x:c>
      <x:c r="C1124" s="99" t="n">
        <x:v>17</x:v>
      </x:c>
      <x:c r="D1124" s="99" t="str">
        <x:v>present</x:v>
      </x:c>
      <x:c r="E1124" s="99" t="str">
        <x:v>/ˈpreznt/</x:v>
      </x:c>
      <x:c r="F1124" s="99" t="str">
        <x:v>现在的；出席的</x:v>
      </x:c>
      <x:c r="G1124" s="99" t="str">
        <x:v>17. present /ˈpreznt/ 现在的；出席的</x:v>
      </x:c>
    </x:row>
    <x:row r="1125" ht="18" customHeight="1">
      <x:c r="A1125" s="99" t="str">
        <x:v>P</x:v>
      </x:c>
      <x:c r="B1125" s="99" t="str">
        <x:v>形容词</x:v>
      </x:c>
      <x:c r="C1125" s="99" t="n">
        <x:v>18</x:v>
      </x:c>
      <x:c r="D1125" s="99" t="str">
        <x:v>pretty</x:v>
      </x:c>
      <x:c r="E1125" s="99" t="str">
        <x:v>/ˈprɪti/</x:v>
      </x:c>
      <x:c r="F1125" s="99" t="str">
        <x:v>漂亮的；可爱的</x:v>
      </x:c>
      <x:c r="G1125" s="99" t="str">
        <x:v>18. pretty /ˈprɪti/ 漂亮的；可爱的</x:v>
      </x:c>
    </x:row>
    <x:row r="1126" ht="18" customHeight="1">
      <x:c r="A1126" s="99" t="str">
        <x:v>P</x:v>
      </x:c>
      <x:c r="B1126" s="99" t="str">
        <x:v>形容词</x:v>
      </x:c>
      <x:c r="C1126" s="99" t="n">
        <x:v>19</x:v>
      </x:c>
      <x:c r="D1126" s="99" t="str">
        <x:v>primary</x:v>
      </x:c>
      <x:c r="E1126" s="99" t="str">
        <x:v>/ˈpraɪməri/</x:v>
      </x:c>
      <x:c r="F1126" s="99" t="str">
        <x:v>主要的；首要的；小学的</x:v>
      </x:c>
      <x:c r="G1126" s="99" t="str">
        <x:v>19. primary /ˈpraɪməri/ 主要的；首要的；小学的</x:v>
      </x:c>
    </x:row>
    <x:row r="1127" ht="18" customHeight="1">
      <x:c r="A1127" s="99" t="str">
        <x:v>P</x:v>
      </x:c>
      <x:c r="B1127" s="99" t="str">
        <x:v>形容词</x:v>
      </x:c>
      <x:c r="C1127" s="99" t="n">
        <x:v>20</x:v>
      </x:c>
      <x:c r="D1127" s="99" t="str">
        <x:v>private</x:v>
      </x:c>
      <x:c r="E1127" s="99" t="str">
        <x:v>/ˈpraɪvət/</x:v>
      </x:c>
      <x:c r="F1127" s="99" t="str">
        <x:v>私人的；私有的</x:v>
      </x:c>
      <x:c r="G1127" s="99" t="str">
        <x:v>20. private /ˈpraɪvət/ 私人的；私有的</x:v>
      </x:c>
    </x:row>
    <x:row r="1128" ht="18" customHeight="1">
      <x:c r="A1128" s="99" t="str">
        <x:v>P</x:v>
      </x:c>
      <x:c r="B1128" s="99" t="str">
        <x:v>形容词</x:v>
      </x:c>
      <x:c r="C1128" s="99" t="n">
        <x:v>21</x:v>
      </x:c>
      <x:c r="D1128" s="99" t="str">
        <x:v>probable</x:v>
      </x:c>
      <x:c r="E1128" s="99" t="str">
        <x:v>/ˈprɒbəbl/</x:v>
      </x:c>
      <x:c r="F1128" s="99" t="str">
        <x:v>可能的；大概的（注：词表中probably为副词，补充形容词）</x:v>
      </x:c>
      <x:c r="G1128" s="99" t="str">
        <x:v>21. probable /ˈprɒbəbl/ 可能的；大概的（注：词表中probably为副词，补充形容词）</x:v>
      </x:c>
    </x:row>
    <x:row r="1129" ht="18" customHeight="1">
      <x:c r="A1129" s="99" t="str">
        <x:v>P</x:v>
      </x:c>
      <x:c r="B1129" s="99" t="str">
        <x:v>形容词</x:v>
      </x:c>
      <x:c r="C1129" s="99" t="n">
        <x:v>22</x:v>
      </x:c>
      <x:c r="D1129" s="99" t="str">
        <x:v>professional</x:v>
      </x:c>
      <x:c r="E1129" s="99" t="str">
        <x:v>/prəˈfeʃənl/</x:v>
      </x:c>
      <x:c r="F1129" s="99" t="str">
        <x:v>专业的；职业的（注：词表中未标，补充）</x:v>
      </x:c>
      <x:c r="G1129" s="99" t="str">
        <x:v>22. professional /prəˈfeʃənl/ 专业的；职业的（注：词表中未标，补充）</x:v>
      </x:c>
    </x:row>
    <x:row r="1130" ht="18" customHeight="1">
      <x:c r="A1130" s="99" t="str">
        <x:v>P</x:v>
      </x:c>
      <x:c r="B1130" s="99" t="str">
        <x:v>形容词</x:v>
      </x:c>
      <x:c r="C1130" s="99" t="n">
        <x:v>23</x:v>
      </x:c>
      <x:c r="D1130" s="99" t="str">
        <x:v>proper</x:v>
      </x:c>
      <x:c r="E1130" s="99" t="str">
        <x:v>/ˈprɒpə/</x:v>
      </x:c>
      <x:c r="F1130" s="99" t="str">
        <x:v>合适的；恰当的</x:v>
      </x:c>
      <x:c r="G1130" s="99" t="str">
        <x:v>23. proper /ˈprɒpə/ 合适的；恰当的</x:v>
      </x:c>
    </x:row>
    <x:row r="1131" ht="18" customHeight="1">
      <x:c r="A1131" s="99" t="str">
        <x:v>P</x:v>
      </x:c>
      <x:c r="B1131" s="99" t="str">
        <x:v>形容词</x:v>
      </x:c>
      <x:c r="C1131" s="99" t="n">
        <x:v>24</x:v>
      </x:c>
      <x:c r="D1131" s="99" t="str">
        <x:v>proud</x:v>
      </x:c>
      <x:c r="E1131" s="99" t="str">
        <x:v>/praʊd/</x:v>
      </x:c>
      <x:c r="F1131" s="99" t="str">
        <x:v>骄傲的；自豪的</x:v>
      </x:c>
      <x:c r="G1131" s="99" t="str">
        <x:v>24. proud /praʊd/ 骄傲的；自豪的</x:v>
      </x:c>
    </x:row>
    <x:row r="1132" ht="18" customHeight="1">
      <x:c r="A1132" s="99" t="str">
        <x:v>P</x:v>
      </x:c>
      <x:c r="B1132" s="99" t="str">
        <x:v>形容词</x:v>
      </x:c>
      <x:c r="C1132" s="99" t="n">
        <x:v>25</x:v>
      </x:c>
      <x:c r="D1132" s="99" t="str">
        <x:v>public</x:v>
      </x:c>
      <x:c r="E1132" s="99" t="str">
        <x:v>/ˈpʌblɪk/</x:v>
      </x:c>
      <x:c r="F1132" s="99" t="str">
        <x:v>公共的；公众的</x:v>
      </x:c>
      <x:c r="G1132" s="99" t="str">
        <x:v>25. public /ˈpʌblɪk/ 公共的；公众的</x:v>
      </x:c>
    </x:row>
    <x:row r="1133" ht="18" customHeight="1">
      <x:c r="A1133" s="99" t="str">
        <x:v>P</x:v>
      </x:c>
      <x:c r="B1133" s="99" t="str">
        <x:v>形容词</x:v>
      </x:c>
      <x:c r="C1133" s="99" t="n">
        <x:v>26</x:v>
      </x:c>
      <x:c r="D1133" s="99" t="str">
        <x:v>pure</x:v>
      </x:c>
      <x:c r="E1133" s="99" t="str">
        <x:v>/pjʊə/</x:v>
      </x:c>
      <x:c r="F1133" s="99" t="str">
        <x:v>纯净的；纯粹的</x:v>
      </x:c>
      <x:c r="G1133" s="99" t="str">
        <x:v>26. pure /pjʊə/ 纯净的；纯粹的</x:v>
      </x:c>
    </x:row>
    <x:row r="1134" ht="18" customHeight="1">
      <x:c r="A1134" s="99" t="str">
        <x:v>P</x:v>
      </x:c>
      <x:c r="B1134" s="99" t="str">
        <x:v>形容词</x:v>
      </x:c>
      <x:c r="C1134" s="99" t="n">
        <x:v>27</x:v>
      </x:c>
      <x:c r="D1134" s="99" t="str">
        <x:v>purple</x:v>
      </x:c>
      <x:c r="E1134" s="99" t="str">
        <x:v>/ˈpɜːpl/</x:v>
      </x:c>
      <x:c r="F1134" s="99" t="str">
        <x:v>紫色的</x:v>
      </x:c>
      <x:c r="G1134" s="99" t="str">
        <x:v>27. purple /ˈpɜːpl/ 紫色的</x:v>
      </x:c>
    </x:row>
    <x:row r="1135" ht="18" customHeight="1">
      <x:c r="A1135" s="99" t="str">
        <x:v>P</x:v>
      </x:c>
      <x:c r="B1135" s="99" t="str">
        <x:v>副词</x:v>
      </x:c>
      <x:c r="C1135" s="99" t="n">
        <x:v>1</x:v>
      </x:c>
      <x:c r="D1135" s="99" t="str">
        <x:v>particularly</x:v>
      </x:c>
      <x:c r="E1135" s="99" t="str">
        <x:v>/pəˈtɪkjələli/</x:v>
      </x:c>
      <x:c r="F1135" s="99" t="str">
        <x:v>尤其；特别（注：词表中未标，补充）</x:v>
      </x:c>
      <x:c r="G1135" s="99" t="str">
        <x:v>1. particularly /pəˈtɪkjələli/ 尤其；特别（注：词表中未标，补充）</x:v>
      </x:c>
    </x:row>
    <x:row r="1136" ht="18" customHeight="1">
      <x:c r="A1136" s="99" t="str">
        <x:v>P</x:v>
      </x:c>
      <x:c r="B1136" s="99" t="str">
        <x:v>副词</x:v>
      </x:c>
      <x:c r="C1136" s="99" t="n">
        <x:v>2</x:v>
      </x:c>
      <x:c r="D1136" s="99" t="str">
        <x:v>past</x:v>
      </x:c>
      <x:c r="E1136" s="99" t="str">
        <x:v>/pɑːst/</x:v>
      </x:c>
      <x:c r="F1136" s="99" t="str">
        <x:v>过；经过</x:v>
      </x:c>
      <x:c r="G1136" s="99" t="str">
        <x:v>2. past /pɑːst/ 过；经过</x:v>
      </x:c>
    </x:row>
    <x:row r="1137" ht="18" customHeight="1">
      <x:c r="A1137" s="99" t="str">
        <x:v>P</x:v>
      </x:c>
      <x:c r="B1137" s="99" t="str">
        <x:v>副词</x:v>
      </x:c>
      <x:c r="C1137" s="99" t="n">
        <x:v>3</x:v>
      </x:c>
      <x:c r="D1137" s="99" t="str">
        <x:v>perhaps</x:v>
      </x:c>
      <x:c r="E1137" s="99" t="str">
        <x:v>/pəˈhæps/</x:v>
      </x:c>
      <x:c r="F1137" s="99" t="str">
        <x:v>可能；也许</x:v>
      </x:c>
      <x:c r="G1137" s="99" t="str">
        <x:v>3. perhaps /pəˈhæps/ 可能；也许</x:v>
      </x:c>
    </x:row>
    <x:row r="1138" ht="18" customHeight="1">
      <x:c r="A1138" s="99" t="str">
        <x:v>P</x:v>
      </x:c>
      <x:c r="B1138" s="99" t="str">
        <x:v>副词</x:v>
      </x:c>
      <x:c r="C1138" s="99" t="n">
        <x:v>4</x:v>
      </x:c>
      <x:c r="D1138" s="99" t="str">
        <x:v>personally</x:v>
      </x:c>
      <x:c r="E1138" s="99" t="str">
        <x:v>/ˈpɜːsənəli/</x:v>
      </x:c>
      <x:c r="F1138" s="99" t="str">
        <x:v>亲自；就个人而言（注：词表中未标，补充）</x:v>
      </x:c>
      <x:c r="G1138" s="99" t="str">
        <x:v>4. personally /ˈpɜːsənəli/ 亲自；就个人而言（注：词表中未标，补充）</x:v>
      </x:c>
    </x:row>
    <x:row r="1139" ht="18" customHeight="1">
      <x:c r="A1139" s="99" t="str">
        <x:v>P</x:v>
      </x:c>
      <x:c r="B1139" s="99" t="str">
        <x:v>副词</x:v>
      </x:c>
      <x:c r="C1139" s="99" t="n">
        <x:v>5</x:v>
      </x:c>
      <x:c r="D1139" s="99" t="str">
        <x:v>pretty</x:v>
      </x:c>
      <x:c r="E1139" s="99" t="str">
        <x:v>/ˈprɪti/</x:v>
      </x:c>
      <x:c r="F1139" s="99" t="str">
        <x:v>相当；很</x:v>
      </x:c>
      <x:c r="G1139" s="99" t="str">
        <x:v>5. pretty /ˈprɪti/ 相当；很</x:v>
      </x:c>
    </x:row>
    <x:row r="1140" ht="18" customHeight="1">
      <x:c r="A1140" s="99" t="str">
        <x:v>P</x:v>
      </x:c>
      <x:c r="B1140" s="99" t="str">
        <x:v>副词</x:v>
      </x:c>
      <x:c r="C1140" s="99" t="n">
        <x:v>6</x:v>
      </x:c>
      <x:c r="D1140" s="99" t="str">
        <x:v>probably</x:v>
      </x:c>
      <x:c r="E1140" s="99" t="str">
        <x:v>/ˈprɒbəbli/</x:v>
      </x:c>
      <x:c r="F1140" s="99" t="str">
        <x:v>大概；或许</x:v>
      </x:c>
      <x:c r="G1140" s="99" t="str">
        <x:v>6. probably /ˈprɒbəbli/ 大概；或许</x:v>
      </x:c>
    </x:row>
    <x:row r="1141" ht="18" customHeight="1">
      <x:c r="A1141" s="99" t="str">
        <x:v>P</x:v>
      </x:c>
      <x:c r="B1141" s="99" t="str">
        <x:v>副词</x:v>
      </x:c>
      <x:c r="C1141" s="99" t="n">
        <x:v>7</x:v>
      </x:c>
      <x:c r="D1141" s="99" t="str">
        <x:v>properly</x:v>
      </x:c>
      <x:c r="E1141" s="99" t="str">
        <x:v>/ˈprɒpəli/</x:v>
      </x:c>
      <x:c r="F1141" s="99" t="str">
        <x:v>适当地；正确地（注：词表中未标，补充）</x:v>
      </x:c>
      <x:c r="G1141" s="99" t="str">
        <x:v>7. properly /ˈprɒpəli/ 适当地；正确地（注：词表中未标，补充）</x:v>
      </x:c>
    </x:row>
    <x:row r="1142" ht="18" customHeight="1">
      <x:c r="A1142" s="99" t="str">
        <x:v>P</x:v>
      </x:c>
      <x:c r="B1142" s="99" t="str">
        <x:v>副词</x:v>
      </x:c>
      <x:c r="C1142" s="99" t="n">
        <x:v>8</x:v>
      </x:c>
      <x:c r="D1142" s="99" t="str">
        <x:v>publicly</x:v>
      </x:c>
      <x:c r="E1142" s="99" t="str">
        <x:v>/ˈpʌblɪkli/</x:v>
      </x:c>
      <x:c r="F1142" s="99" t="str">
        <x:v>公开地；当众（注：词表中未标，补充）</x:v>
      </x:c>
      <x:c r="G1142" s="99" t="str">
        <x:v>8. publicly /ˈpʌblɪkli/ 公开地；当众（注：词表中未标，补充）</x:v>
      </x:c>
    </x:row>
    <x:row r="1143" ht="18" customHeight="1">
      <x:c r="A1143" s="99" t="str">
        <x:v>P</x:v>
      </x:c>
      <x:c r="B1143" s="99" t="str">
        <x:v>介词</x:v>
      </x:c>
      <x:c r="C1143" s="99" t="n">
        <x:v>1</x:v>
      </x:c>
      <x:c r="D1143" s="99" t="str">
        <x:v>past</x:v>
      </x:c>
      <x:c r="E1143" s="99" t="str">
        <x:v>/pɑːst/</x:v>
      </x:c>
      <x:c r="F1143" s="99" t="str">
        <x:v>过；经过</x:v>
      </x:c>
      <x:c r="G1143" s="99" t="str">
        <x:v>1. past /pɑːst/ 过；经过</x:v>
      </x:c>
    </x:row>
    <x:row r="1144" ht="18" customHeight="1">
      <x:c r="A1144" s="99" t="str">
        <x:v>P</x:v>
      </x:c>
      <x:c r="B1144" s="99" t="str">
        <x:v>介词</x:v>
      </x:c>
      <x:c r="C1144" s="99" t="n">
        <x:v>2</x:v>
      </x:c>
      <x:c r="D1144" s="99" t="str">
        <x:v>per</x:v>
      </x:c>
      <x:c r="E1144" s="99" t="str">
        <x:v>/pɜː/</x:v>
      </x:c>
      <x:c r="F1144" s="99" t="str">
        <x:v>每；每一</x:v>
      </x:c>
      <x:c r="G1144" s="99" t="str">
        <x:v>2. per /pɜː/ 每；每一</x:v>
      </x:c>
    </x:row>
    <x:row r="1145" ht="18" customHeight="1">
      <x:c r="A1145" s="99" t="str">
        <x:v>P</x:v>
      </x:c>
      <x:c r="B1145" s="99" t="str">
        <x:v>介词</x:v>
      </x:c>
      <x:c r="C1145" s="99" t="n">
        <x:v>3</x:v>
      </x:c>
      <x:c r="D1145" s="99" t="str">
        <x:v>plus</x:v>
      </x:c>
      <x:c r="E1145" s="99" t="str">
        <x:v>/plʌs/</x:v>
      </x:c>
      <x:c r="F1145" s="99" t="str">
        <x:v>加；加上（注：词表中未标，补充）</x:v>
      </x:c>
      <x:c r="G1145" s="99" t="str">
        <x:v>3. plus /plʌs/ 加；加上（注：词表中未标，补充）</x:v>
      </x:c>
    </x:row>
    <x:row r="1146" ht="18" customHeight="1">
      <x:c r="A1146" s="99" t="str">
        <x:v>P</x:v>
      </x:c>
      <x:c r="B1146" s="99" t="str">
        <x:v>代词</x:v>
      </x:c>
      <x:c r="C1146" s="99" t="str"/>
      <x:c r="D1146" s="99" t="str">
        <x:v>无纯代词（personal/private为形容词）</x:v>
      </x:c>
      <x:c r="E1146" s="99" t="str"/>
      <x:c r="F1146" s="99" t="str"/>
      <x:c r="G1146" s="99" t="str">
        <x:v>无纯代词（personal/private为形容词）</x:v>
      </x:c>
    </x:row>
    <x:row r="1147" ht="18" customHeight="1">
      <x:c r="A1147" s="99" t="str">
        <x:v>P</x:v>
      </x:c>
      <x:c r="B1147" s="99" t="str">
        <x:v>数词</x:v>
      </x:c>
      <x:c r="C1147" s="99" t="str"/>
      <x:c r="D1147" s="99" t="str">
        <x:v>无纯数词（词表中无P开头数词）</x:v>
      </x:c>
      <x:c r="E1147" s="99" t="str"/>
      <x:c r="F1147" s="99" t="str"/>
      <x:c r="G1147" s="99" t="str">
        <x:v>无纯数词（词表中无P开头数词）</x:v>
      </x:c>
    </x:row>
    <x:row r="1148" ht="18" customHeight="1">
      <x:c r="A1148" s="99" t="str">
        <x:v>P</x:v>
      </x:c>
      <x:c r="B1148" s="99" t="str">
        <x:v>短语</x:v>
      </x:c>
      <x:c r="C1148" s="99" t="n">
        <x:v>1</x:v>
      </x:c>
      <x:c r="D1148" s="99" t="str">
        <x:v>a</x:v>
      </x:c>
      <x:c r="E1148" s="99" t="str"/>
      <x:c r="F1148" s="99" t="str">
        <x:v>pair of 一双；一对</x:v>
      </x:c>
      <x:c r="G1148" s="99" t="str">
        <x:v>1. a pair of 一双；一对</x:v>
      </x:c>
    </x:row>
    <x:row r="1149" ht="18" customHeight="1">
      <x:c r="A1149" s="99" t="str">
        <x:v>P</x:v>
      </x:c>
      <x:c r="B1149" s="99" t="str">
        <x:v>短语</x:v>
      </x:c>
      <x:c r="C1149" s="99" t="n">
        <x:v>2</x:v>
      </x:c>
      <x:c r="D1149" s="99" t="str">
        <x:v>be</x:v>
      </x:c>
      <x:c r="E1149" s="99" t="str"/>
      <x:c r="F1149" s="99" t="str">
        <x:v>good at 擅长</x:v>
      </x:c>
      <x:c r="G1149" s="99" t="str">
        <x:v>2. be good at 擅长</x:v>
      </x:c>
    </x:row>
    <x:row r="1150" ht="18" customHeight="1">
      <x:c r="A1150" s="99" t="str">
        <x:v>P</x:v>
      </x:c>
      <x:c r="B1150" s="99" t="str">
        <x:v>短语</x:v>
      </x:c>
      <x:c r="C1150" s="99" t="n">
        <x:v>3</x:v>
      </x:c>
      <x:c r="D1150" s="99" t="str">
        <x:v>be</x:v>
      </x:c>
      <x:c r="E1150" s="99" t="str"/>
      <x:c r="F1150" s="99" t="str">
        <x:v>proud of… 为……而感到骄傲</x:v>
      </x:c>
      <x:c r="G1150" s="99" t="str">
        <x:v>3. be proud of… 为……而感到骄傲</x:v>
      </x:c>
    </x:row>
    <x:row r="1151" ht="18" customHeight="1">
      <x:c r="A1151" s="99" t="str">
        <x:v>P</x:v>
      </x:c>
      <x:c r="B1151" s="99" t="str">
        <x:v>短语</x:v>
      </x:c>
      <x:c r="C1151" s="99" t="n">
        <x:v>4</x:v>
      </x:c>
      <x:c r="D1151" s="99" t="str">
        <x:v>first</x:v>
      </x:c>
      <x:c r="E1151" s="99" t="str"/>
      <x:c r="F1151" s="99" t="str">
        <x:v>prize 一等奖</x:v>
      </x:c>
      <x:c r="G1151" s="99" t="str">
        <x:v>4. first prize 一等奖</x:v>
      </x:c>
    </x:row>
    <x:row r="1152" ht="18" customHeight="1">
      <x:c r="A1152" s="99" t="str">
        <x:v>P</x:v>
      </x:c>
      <x:c r="B1152" s="99" t="str">
        <x:v>短语</x:v>
      </x:c>
      <x:c r="C1152" s="99" t="n">
        <x:v>5</x:v>
      </x:c>
      <x:c r="D1152" s="99" t="str">
        <x:v>get</x:v>
      </x:c>
      <x:c r="E1152" s="99" t="str"/>
      <x:c r="F1152" s="99" t="str">
        <x:v>ready for 为……做准备（注：G开头短语，此处不重复）</x:v>
      </x:c>
      <x:c r="G1152" s="99" t="str">
        <x:v>5. get ready for 为……做准备（注：G开头短语，此处不重复）</x:v>
      </x:c>
    </x:row>
    <x:row r="1153" ht="18" customHeight="1">
      <x:c r="A1153" s="99" t="str">
        <x:v>P</x:v>
      </x:c>
      <x:c r="B1153" s="99" t="str">
        <x:v>短语</x:v>
      </x:c>
      <x:c r="C1153" s="99" t="n">
        <x:v>6</x:v>
      </x:c>
      <x:c r="D1153" s="99" t="str">
        <x:v>in</x:v>
      </x:c>
      <x:c r="E1153" s="99" t="str"/>
      <x:c r="F1153" s="99" t="str">
        <x:v>pieces 破碎</x:v>
      </x:c>
      <x:c r="G1153" s="99" t="str">
        <x:v>6. in pieces 破碎</x:v>
      </x:c>
    </x:row>
    <x:row r="1154" ht="18" customHeight="1">
      <x:c r="A1154" s="99" t="str">
        <x:v>P</x:v>
      </x:c>
      <x:c r="B1154" s="99" t="str">
        <x:v>短语</x:v>
      </x:c>
      <x:c r="C1154" s="99" t="n">
        <x:v>7</x:v>
      </x:c>
      <x:c r="D1154" s="99" t="str">
        <x:v>in</x:v>
      </x:c>
      <x:c r="E1154" s="99" t="str"/>
      <x:c r="F1154" s="99" t="str">
        <x:v>place 在正确的位置（注：词表中未标，补充）</x:v>
      </x:c>
      <x:c r="G1154" s="99" t="str">
        <x:v>7. in place 在正确的位置（注：词表中未标，补充）</x:v>
      </x:c>
    </x:row>
    <x:row r="1155" ht="18" customHeight="1">
      <x:c r="A1155" s="99" t="str">
        <x:v>P</x:v>
      </x:c>
      <x:c r="B1155" s="99" t="str">
        <x:v>短语</x:v>
      </x:c>
      <x:c r="C1155" s="99" t="n">
        <x:v>8</x:v>
      </x:c>
      <x:c r="D1155" s="99" t="str">
        <x:v>in</x:v>
      </x:c>
      <x:c r="E1155" s="99" t="str"/>
      <x:c r="F1155" s="99" t="str">
        <x:v>peace 和平地；平静地</x:v>
      </x:c>
      <x:c r="G1155" s="99" t="str">
        <x:v>8. in peace 和平地；平静地</x:v>
      </x:c>
    </x:row>
    <x:row r="1156" ht="18" customHeight="1">
      <x:c r="A1156" s="99" t="str">
        <x:v>P</x:v>
      </x:c>
      <x:c r="B1156" s="99" t="str">
        <x:v>短语</x:v>
      </x:c>
      <x:c r="C1156" s="99" t="n">
        <x:v>9</x:v>
      </x:c>
      <x:c r="D1156" s="99" t="str">
        <x:v>make</x:v>
      </x:c>
      <x:c r="E1156" s="99" t="str"/>
      <x:c r="F1156" s="99" t="str">
        <x:v>progress 取得进步</x:v>
      </x:c>
      <x:c r="G1156" s="99" t="str">
        <x:v>9. make progress 取得进步</x:v>
      </x:c>
    </x:row>
    <x:row r="1157" ht="18" customHeight="1">
      <x:c r="A1157" s="99" t="str">
        <x:v>P</x:v>
      </x:c>
      <x:c r="B1157" s="99" t="str">
        <x:v>短语</x:v>
      </x:c>
      <x:c r="C1157" s="99" t="n">
        <x:v>10</x:v>
      </x:c>
      <x:c r="D1157" s="99" t="str">
        <x:v>on</x:v>
      </x:c>
      <x:c r="E1157" s="99" t="str"/>
      <x:c r="F1157" s="99" t="str">
        <x:v>purpose 故意地（注：词表中未标，补充）</x:v>
      </x:c>
      <x:c r="G1157" s="99" t="str">
        <x:v>10. on purpose 故意地（注：词表中未标，补充）</x:v>
      </x:c>
    </x:row>
    <x:row r="1158" ht="18" customHeight="1">
      <x:c r="A1158" s="99" t="str">
        <x:v>P</x:v>
      </x:c>
      <x:c r="B1158" s="99" t="str">
        <x:v>短语</x:v>
      </x:c>
      <x:c r="C1158" s="99" t="n">
        <x:v>11</x:v>
      </x:c>
      <x:c r="D1158" s="99" t="str">
        <x:v>play</x:v>
      </x:c>
      <x:c r="E1158" s="99" t="str"/>
      <x:c r="F1158" s="99" t="str">
        <x:v>a part in 参与；起作用（注：词表中未标，补充）</x:v>
      </x:c>
      <x:c r="G1158" s="99" t="str">
        <x:v>11. play a part in 参与；起作用（注：词表中未标，补充）</x:v>
      </x:c>
    </x:row>
    <x:row r="1159" ht="18" customHeight="1">
      <x:c r="A1159" s="99" t="str">
        <x:v>P</x:v>
      </x:c>
      <x:c r="B1159" s="99" t="str">
        <x:v>短语</x:v>
      </x:c>
      <x:c r="C1159" s="99" t="n">
        <x:v>12</x:v>
      </x:c>
      <x:c r="D1159" s="99" t="str">
        <x:v>play</x:v>
      </x:c>
      <x:c r="E1159" s="99" t="str"/>
      <x:c r="F1159" s="99" t="str">
        <x:v>with 和……一起玩；玩弄</x:v>
      </x:c>
      <x:c r="G1159" s="99" t="str">
        <x:v>12. play with 和……一起玩；玩弄</x:v>
      </x:c>
    </x:row>
    <x:row r="1160" ht="18" customHeight="1">
      <x:c r="A1160" s="99" t="str">
        <x:v>P</x:v>
      </x:c>
      <x:c r="B1160" s="99" t="str">
        <x:v>短语</x:v>
      </x:c>
      <x:c r="C1160" s="99" t="n">
        <x:v>13</x:v>
      </x:c>
      <x:c r="D1160" s="99" t="str">
        <x:v>point</x:v>
      </x:c>
      <x:c r="E1160" s="99" t="str"/>
      <x:c r="F1160" s="99" t="str">
        <x:v>at 指着……</x:v>
      </x:c>
      <x:c r="G1160" s="99" t="str">
        <x:v>13. point at 指着……</x:v>
      </x:c>
    </x:row>
    <x:row r="1161" ht="18" customHeight="1">
      <x:c r="A1161" s="99" t="str">
        <x:v>P</x:v>
      </x:c>
      <x:c r="B1161" s="99" t="str">
        <x:v>短语</x:v>
      </x:c>
      <x:c r="C1161" s="99" t="n">
        <x:v>14</x:v>
      </x:c>
      <x:c r="D1161" s="99" t="str">
        <x:v>put</x:v>
      </x:c>
      <x:c r="E1161" s="99" t="str"/>
      <x:c r="F1161" s="99" t="str">
        <x:v>away 收起；收拾好</x:v>
      </x:c>
      <x:c r="G1161" s="99" t="str">
        <x:v>14. put away 收起；收拾好</x:v>
      </x:c>
    </x:row>
    <x:row r="1162" ht="18" customHeight="1">
      <x:c r="A1162" s="99" t="str">
        <x:v>P</x:v>
      </x:c>
      <x:c r="B1162" s="99" t="str">
        <x:v>短语</x:v>
      </x:c>
      <x:c r="C1162" s="99" t="n">
        <x:v>15</x:v>
      </x:c>
      <x:c r="D1162" s="99" t="str">
        <x:v>put</x:v>
      </x:c>
      <x:c r="E1162" s="99" t="str"/>
      <x:c r="F1162" s="99" t="str">
        <x:v>on 穿上；上演</x:v>
      </x:c>
      <x:c r="G1162" s="99" t="str">
        <x:v>15. put on 穿上；上演</x:v>
      </x:c>
    </x:row>
    <x:row r="1163" ht="18" customHeight="1">
      <x:c r="A1163" s="99" t="str">
        <x:v>P</x:v>
      </x:c>
      <x:c r="B1163" s="99" t="str">
        <x:v>短语</x:v>
      </x:c>
      <x:c r="C1163" s="99" t="n">
        <x:v>16</x:v>
      </x:c>
      <x:c r="D1163" s="99" t="str">
        <x:v>put</x:v>
      </x:c>
      <x:c r="E1163" s="99" t="str"/>
      <x:c r="F1163" s="99" t="str">
        <x:v>up 张贴；举起；搭建</x:v>
      </x:c>
      <x:c r="G1163" s="99" t="str">
        <x:v>16. put up 张贴；举起；搭建</x:v>
      </x:c>
    </x:row>
    <x:row r="1164" ht="18" customHeight="1">
      <x:c r="A1164" s="99" t="str">
        <x:v>Q</x:v>
      </x:c>
      <x:c r="B1164" s="99" t="str">
        <x:v>名词</x:v>
      </x:c>
      <x:c r="C1164" s="99" t="n">
        <x:v>1</x:v>
      </x:c>
      <x:c r="D1164" s="99" t="str">
        <x:v>queen</x:v>
      </x:c>
      <x:c r="E1164" s="99" t="str">
        <x:v>/kwiːn/</x:v>
      </x:c>
      <x:c r="F1164" s="99" t="str">
        <x:v>女王；王后</x:v>
      </x:c>
      <x:c r="G1164" s="99" t="str">
        <x:v>1. queen /kwiːn/ 女王；王后</x:v>
      </x:c>
    </x:row>
    <x:row r="1165" ht="18" customHeight="1">
      <x:c r="A1165" s="99" t="str">
        <x:v>Q</x:v>
      </x:c>
      <x:c r="B1165" s="99" t="str">
        <x:v>名词</x:v>
      </x:c>
      <x:c r="C1165" s="99" t="n">
        <x:v>2</x:v>
      </x:c>
      <x:c r="D1165" s="99" t="str">
        <x:v>question</x:v>
      </x:c>
      <x:c r="E1165" s="99" t="str">
        <x:v>/ˈkwestʃən/</x:v>
      </x:c>
      <x:c r="F1165" s="99" t="str">
        <x:v>问题</x:v>
      </x:c>
      <x:c r="G1165" s="99" t="str">
        <x:v>2. question /ˈkwestʃən/ 问题</x:v>
      </x:c>
    </x:row>
    <x:row r="1166" ht="18" customHeight="1">
      <x:c r="A1166" s="99" t="str">
        <x:v>Q</x:v>
      </x:c>
      <x:c r="B1166" s="99" t="str">
        <x:v>动词</x:v>
      </x:c>
      <x:c r="C1166" s="99" t="n">
        <x:v>1</x:v>
      </x:c>
      <x:c r="D1166" s="99" t="str">
        <x:v>question</x:v>
      </x:c>
      <x:c r="E1166" s="99" t="str">
        <x:v>/ˈkwestʃən/</x:v>
      </x:c>
      <x:c r="F1166" s="99" t="str">
        <x:v>提问；质疑</x:v>
      </x:c>
      <x:c r="G1166" s="99" t="str">
        <x:v>1. question /ˈkwestʃən/ 提问；质疑</x:v>
      </x:c>
    </x:row>
    <x:row r="1167" ht="18" customHeight="1">
      <x:c r="A1167" s="99" t="str">
        <x:v>Q</x:v>
      </x:c>
      <x:c r="B1167" s="99" t="str">
        <x:v>形容词</x:v>
      </x:c>
      <x:c r="C1167" s="99" t="str"/>
      <x:c r="D1167" s="99" t="str">
        <x:v>无纯形容词</x:v>
      </x:c>
      <x:c r="E1167" s="99" t="str"/>
      <x:c r="F1167" s="99" t="str"/>
      <x:c r="G1167" s="99" t="str">
        <x:v>无纯形容词</x:v>
      </x:c>
    </x:row>
    <x:row r="1168" ht="18" customHeight="1">
      <x:c r="A1168" s="99" t="str">
        <x:v>Q</x:v>
      </x:c>
      <x:c r="B1168" s="99" t="str">
        <x:v>副词</x:v>
      </x:c>
      <x:c r="C1168" s="99" t="n">
        <x:v>1</x:v>
      </x:c>
      <x:c r="D1168" s="99" t="str">
        <x:v>quite</x:v>
      </x:c>
      <x:c r="E1168" s="99" t="str">
        <x:v>/kwaɪt/</x:v>
      </x:c>
      <x:c r="F1168" s="99" t="str">
        <x:v>十分；相当</x:v>
      </x:c>
      <x:c r="G1168" s="99" t="str">
        <x:v>1. quite /kwaɪt/ 十分；相当</x:v>
      </x:c>
    </x:row>
    <x:row r="1169" ht="18" customHeight="1">
      <x:c r="A1169" s="99" t="str">
        <x:v>Q</x:v>
      </x:c>
      <x:c r="B1169" s="99" t="str">
        <x:v>介词</x:v>
      </x:c>
      <x:c r="C1169" s="99" t="str"/>
      <x:c r="D1169" s="99" t="str">
        <x:v>无纯介词</x:v>
      </x:c>
      <x:c r="E1169" s="99" t="str"/>
      <x:c r="F1169" s="99" t="str"/>
      <x:c r="G1169" s="99" t="str">
        <x:v>无纯介词</x:v>
      </x:c>
    </x:row>
    <x:row r="1170" ht="18" customHeight="1">
      <x:c r="A1170" s="99" t="str">
        <x:v>Q</x:v>
      </x:c>
      <x:c r="B1170" s="99" t="str">
        <x:v>代词</x:v>
      </x:c>
      <x:c r="C1170" s="99" t="str"/>
      <x:c r="D1170" s="99" t="str">
        <x:v>无纯代词</x:v>
      </x:c>
      <x:c r="E1170" s="99" t="str"/>
      <x:c r="F1170" s="99" t="str"/>
      <x:c r="G1170" s="99" t="str">
        <x:v>无纯代词</x:v>
      </x:c>
    </x:row>
    <x:row r="1171" ht="18" customHeight="1">
      <x:c r="A1171" s="99" t="str">
        <x:v>Q</x:v>
      </x:c>
      <x:c r="B1171" s="99" t="str">
        <x:v>数词</x:v>
      </x:c>
      <x:c r="C1171" s="99" t="str"/>
      <x:c r="D1171" s="99" t="str">
        <x:v>无纯数词</x:v>
      </x:c>
      <x:c r="E1171" s="99" t="str"/>
      <x:c r="F1171" s="99" t="str"/>
      <x:c r="G1171" s="99" t="str">
        <x:v>无纯数词</x:v>
      </x:c>
    </x:row>
    <x:row r="1172" ht="18" customHeight="1">
      <x:c r="A1172" s="99" t="str">
        <x:v>R</x:v>
      </x:c>
      <x:c r="B1172" s="99" t="str">
        <x:v>名词</x:v>
      </x:c>
      <x:c r="C1172" s="99" t="n">
        <x:v>1</x:v>
      </x:c>
      <x:c r="D1172" s="99" t="str">
        <x:v>rabbit</x:v>
      </x:c>
      <x:c r="E1172" s="99" t="str">
        <x:v>/ˈræbɪt/</x:v>
      </x:c>
      <x:c r="F1172" s="99" t="str">
        <x:v>兔；家兔</x:v>
      </x:c>
      <x:c r="G1172" s="99" t="str">
        <x:v>1. rabbit /ˈræbɪt/ 兔；家兔</x:v>
      </x:c>
    </x:row>
    <x:row r="1173" ht="18" customHeight="1">
      <x:c r="A1173" s="99" t="str">
        <x:v>R</x:v>
      </x:c>
      <x:c r="B1173" s="99" t="str">
        <x:v>名词</x:v>
      </x:c>
      <x:c r="C1173" s="99" t="n">
        <x:v>2</x:v>
      </x:c>
      <x:c r="D1173" s="99" t="str">
        <x:v>race</x:v>
      </x:c>
      <x:c r="E1173" s="99" t="str">
        <x:v>/reɪs/</x:v>
      </x:c>
      <x:c r="F1173" s="99" t="str">
        <x:v>赛跑；比赛</x:v>
      </x:c>
      <x:c r="G1173" s="99" t="str">
        <x:v>2. race /reɪs/ 赛跑；比赛</x:v>
      </x:c>
    </x:row>
    <x:row r="1174" ht="18" customHeight="1">
      <x:c r="A1174" s="99" t="str">
        <x:v>R</x:v>
      </x:c>
      <x:c r="B1174" s="99" t="str">
        <x:v>名词</x:v>
      </x:c>
      <x:c r="C1174" s="99" t="n">
        <x:v>3</x:v>
      </x:c>
      <x:c r="D1174" s="99" t="str">
        <x:v>radio</x:v>
      </x:c>
      <x:c r="E1174" s="99" t="str">
        <x:v>/ˈreɪdiəʊ/</x:v>
      </x:c>
      <x:c r="F1174" s="99" t="str">
        <x:v>电台；广播</x:v>
      </x:c>
      <x:c r="G1174" s="99" t="str">
        <x:v>3. radio /ˈreɪdiəʊ/ 电台；广播</x:v>
      </x:c>
    </x:row>
    <x:row r="1175" ht="18" customHeight="1">
      <x:c r="A1175" s="99" t="str">
        <x:v>R</x:v>
      </x:c>
      <x:c r="B1175" s="99" t="str">
        <x:v>名词</x:v>
      </x:c>
      <x:c r="C1175" s="99" t="n">
        <x:v>4</x:v>
      </x:c>
      <x:c r="D1175" s="99" t="str">
        <x:v>railway</x:v>
      </x:c>
      <x:c r="E1175" s="99" t="str">
        <x:v>/ˈreɪlweɪ/</x:v>
      </x:c>
      <x:c r="F1175" s="99" t="str">
        <x:v>铁路</x:v>
      </x:c>
      <x:c r="G1175" s="99" t="str">
        <x:v>4. railway /ˈreɪlweɪ/ 铁路</x:v>
      </x:c>
    </x:row>
    <x:row r="1176" ht="18" customHeight="1">
      <x:c r="A1176" s="99" t="str">
        <x:v>R</x:v>
      </x:c>
      <x:c r="B1176" s="99" t="str">
        <x:v>名词</x:v>
      </x:c>
      <x:c r="C1176" s="99" t="n">
        <x:v>5</x:v>
      </x:c>
      <x:c r="D1176" s="99" t="str">
        <x:v>rain</x:v>
      </x:c>
      <x:c r="E1176" s="99" t="str">
        <x:v>/reɪn/</x:v>
      </x:c>
      <x:c r="F1176" s="99" t="str">
        <x:v>雨；雨水</x:v>
      </x:c>
      <x:c r="G1176" s="99" t="str">
        <x:v>5. rain /reɪn/ 雨；雨水</x:v>
      </x:c>
    </x:row>
    <x:row r="1177" ht="18" customHeight="1">
      <x:c r="A1177" s="99" t="str">
        <x:v>R</x:v>
      </x:c>
      <x:c r="B1177" s="99" t="str">
        <x:v>名词</x:v>
      </x:c>
      <x:c r="C1177" s="99" t="n">
        <x:v>6</x:v>
      </x:c>
      <x:c r="D1177" s="99" t="str">
        <x:v>reason</x:v>
      </x:c>
      <x:c r="E1177" s="99" t="str">
        <x:v>/ˈriːzn/</x:v>
      </x:c>
      <x:c r="F1177" s="99" t="str">
        <x:v>原因；理由</x:v>
      </x:c>
      <x:c r="G1177" s="99" t="str">
        <x:v>6. reason /ˈriːzn/ 原因；理由</x:v>
      </x:c>
    </x:row>
    <x:row r="1178" ht="18" customHeight="1">
      <x:c r="A1178" s="99" t="str">
        <x:v>R</x:v>
      </x:c>
      <x:c r="B1178" s="99" t="str">
        <x:v>名词</x:v>
      </x:c>
      <x:c r="C1178" s="99" t="n">
        <x:v>7</x:v>
      </x:c>
      <x:c r="D1178" s="99" t="str">
        <x:v>record</x:v>
      </x:c>
      <x:c r="E1178" s="99" t="str">
        <x:v>/ˈrekɔːd/</x:v>
      </x:c>
      <x:c r="F1178" s="99" t="str">
        <x:v>记录；唱片</x:v>
      </x:c>
      <x:c r="G1178" s="99" t="str">
        <x:v>7. record /ˈrekɔːd/ 记录；唱片</x:v>
      </x:c>
    </x:row>
    <x:row r="1179" ht="18" customHeight="1">
      <x:c r="A1179" s="99" t="str">
        <x:v>R</x:v>
      </x:c>
      <x:c r="B1179" s="99" t="str">
        <x:v>名词</x:v>
      </x:c>
      <x:c r="C1179" s="99" t="n">
        <x:v>8</x:v>
      </x:c>
      <x:c r="D1179" s="99" t="str">
        <x:v>report</x:v>
      </x:c>
      <x:c r="E1179" s="99" t="str">
        <x:v>/rɪˈpɔːt/</x:v>
      </x:c>
      <x:c r="F1179" s="99" t="str">
        <x:v>报告；汇报</x:v>
      </x:c>
      <x:c r="G1179" s="99" t="str">
        <x:v>8. report /rɪˈpɔːt/ 报告；汇报</x:v>
      </x:c>
    </x:row>
    <x:row r="1180" ht="18" customHeight="1">
      <x:c r="A1180" s="99" t="str">
        <x:v>R</x:v>
      </x:c>
      <x:c r="B1180" s="99" t="str">
        <x:v>名词</x:v>
      </x:c>
      <x:c r="C1180" s="99" t="n">
        <x:v>9</x:v>
      </x:c>
      <x:c r="D1180" s="99" t="str">
        <x:v>research</x:v>
      </x:c>
      <x:c r="E1180" s="99" t="str">
        <x:v>/rɪˈsɜːtʃ/</x:v>
      </x:c>
      <x:c r="F1180" s="99" t="str">
        <x:v>研究；调查</x:v>
      </x:c>
      <x:c r="G1180" s="99" t="str">
        <x:v>9. research /rɪˈsɜːtʃ/ 研究；调查</x:v>
      </x:c>
    </x:row>
    <x:row r="1181" ht="18" customHeight="1">
      <x:c r="A1181" s="99" t="str">
        <x:v>R</x:v>
      </x:c>
      <x:c r="B1181" s="99" t="str">
        <x:v>名词</x:v>
      </x:c>
      <x:c r="C1181" s="99" t="n">
        <x:v>10</x:v>
      </x:c>
      <x:c r="D1181" s="99" t="str">
        <x:v>rest</x:v>
      </x:c>
      <x:c r="E1181" s="99" t="str">
        <x:v>/rest/</x:v>
      </x:c>
      <x:c r="F1181" s="99" t="str">
        <x:v>休息；剩余部分</x:v>
      </x:c>
      <x:c r="G1181" s="99" t="str">
        <x:v>10. rest /rest/ 休息；剩余部分</x:v>
      </x:c>
    </x:row>
    <x:row r="1182" ht="18" customHeight="1">
      <x:c r="A1182" s="99" t="str">
        <x:v>R</x:v>
      </x:c>
      <x:c r="B1182" s="99" t="str">
        <x:v>名词</x:v>
      </x:c>
      <x:c r="C1182" s="99" t="n">
        <x:v>11</x:v>
      </x:c>
      <x:c r="D1182" s="99" t="str">
        <x:v>right</x:v>
      </x:c>
      <x:c r="E1182" s="99" t="str">
        <x:v>/raɪt/</x:v>
      </x:c>
      <x:c r="F1182" s="99" t="str">
        <x:v>右边；正确</x:v>
      </x:c>
      <x:c r="G1182" s="99" t="str">
        <x:v>11. right /raɪt/ 右边；正确</x:v>
      </x:c>
    </x:row>
    <x:row r="1183" ht="18" customHeight="1">
      <x:c r="A1183" s="99" t="str">
        <x:v>R</x:v>
      </x:c>
      <x:c r="B1183" s="99" t="str">
        <x:v>名词</x:v>
      </x:c>
      <x:c r="C1183" s="99" t="n">
        <x:v>12</x:v>
      </x:c>
      <x:c r="D1183" s="99" t="str">
        <x:v>risk</x:v>
      </x:c>
      <x:c r="E1183" s="99" t="str">
        <x:v>/rɪsk/</x:v>
      </x:c>
      <x:c r="F1183" s="99" t="str">
        <x:v>危险；风险</x:v>
      </x:c>
      <x:c r="G1183" s="99" t="str">
        <x:v>12. risk /rɪsk/ 危险；风险</x:v>
      </x:c>
    </x:row>
    <x:row r="1184" ht="18" customHeight="1">
      <x:c r="A1184" s="99" t="str">
        <x:v>R</x:v>
      </x:c>
      <x:c r="B1184" s="99" t="str">
        <x:v>名词</x:v>
      </x:c>
      <x:c r="C1184" s="99" t="n">
        <x:v>13</x:v>
      </x:c>
      <x:c r="D1184" s="99" t="str">
        <x:v>river</x:v>
      </x:c>
      <x:c r="E1184" s="99" t="str">
        <x:v>/ˈrɪvə/</x:v>
      </x:c>
      <x:c r="F1184" s="99" t="str">
        <x:v>河；江</x:v>
      </x:c>
      <x:c r="G1184" s="99" t="str">
        <x:v>13. river /ˈrɪvə/ 河；江</x:v>
      </x:c>
    </x:row>
    <x:row r="1185" ht="18" customHeight="1">
      <x:c r="A1185" s="99" t="str">
        <x:v>R</x:v>
      </x:c>
      <x:c r="B1185" s="99" t="str">
        <x:v>名词</x:v>
      </x:c>
      <x:c r="C1185" s="99" t="n">
        <x:v>14</x:v>
      </x:c>
      <x:c r="D1185" s="99" t="str">
        <x:v>road</x:v>
      </x:c>
      <x:c r="E1185" s="99" t="str">
        <x:v>/rəʊd/</x:v>
      </x:c>
      <x:c r="F1185" s="99" t="str">
        <x:v>路；道路；公路</x:v>
      </x:c>
      <x:c r="G1185" s="99" t="str">
        <x:v>14. road /rəʊd/ 路；道路；公路</x:v>
      </x:c>
    </x:row>
    <x:row r="1186" ht="18" customHeight="1">
      <x:c r="A1186" s="99" t="str">
        <x:v>R</x:v>
      </x:c>
      <x:c r="B1186" s="99" t="str">
        <x:v>名词</x:v>
      </x:c>
      <x:c r="C1186" s="99" t="n">
        <x:v>15</x:v>
      </x:c>
      <x:c r="D1186" s="99" t="str">
        <x:v>robot</x:v>
      </x:c>
      <x:c r="E1186" s="99" t="str">
        <x:v>/ˈrəʊbɒt/</x:v>
      </x:c>
      <x:c r="F1186" s="99" t="str">
        <x:v>机器人</x:v>
      </x:c>
      <x:c r="G1186" s="99" t="str">
        <x:v>15. robot /ˈrəʊbɒt/ 机器人</x:v>
      </x:c>
    </x:row>
    <x:row r="1187" ht="18" customHeight="1">
      <x:c r="A1187" s="99" t="str">
        <x:v>R</x:v>
      </x:c>
      <x:c r="B1187" s="99" t="str">
        <x:v>名词</x:v>
      </x:c>
      <x:c r="C1187" s="99" t="n">
        <x:v>16</x:v>
      </x:c>
      <x:c r="D1187" s="99" t="str">
        <x:v>rock</x:v>
      </x:c>
      <x:c r="E1187" s="99" t="str">
        <x:v>/rɒk/</x:v>
      </x:c>
      <x:c r="F1187" s="99" t="str">
        <x:v>岩石；石块</x:v>
      </x:c>
      <x:c r="G1187" s="99" t="str">
        <x:v>16. rock /rɒk/ 岩石；石块</x:v>
      </x:c>
    </x:row>
    <x:row r="1188" ht="18" customHeight="1">
      <x:c r="A1188" s="99" t="str">
        <x:v>R</x:v>
      </x:c>
      <x:c r="B1188" s="99" t="str">
        <x:v>名词</x:v>
      </x:c>
      <x:c r="C1188" s="99" t="n">
        <x:v>17</x:v>
      </x:c>
      <x:c r="D1188" s="99" t="str">
        <x:v>rose</x:v>
      </x:c>
      <x:c r="E1188" s="99" t="str">
        <x:v>/rəʊz/</x:v>
      </x:c>
      <x:c r="F1188" s="99" t="str">
        <x:v>玫瑰；蔷薇</x:v>
      </x:c>
      <x:c r="G1188" s="99" t="str">
        <x:v>17. rose /rəʊz/ 玫瑰；蔷薇</x:v>
      </x:c>
    </x:row>
    <x:row r="1189" ht="18" customHeight="1">
      <x:c r="A1189" s="99" t="str">
        <x:v>R</x:v>
      </x:c>
      <x:c r="B1189" s="99" t="str">
        <x:v>名词</x:v>
      </x:c>
      <x:c r="C1189" s="99" t="n">
        <x:v>18</x:v>
      </x:c>
      <x:c r="D1189" s="99" t="str">
        <x:v>rubbish</x:v>
      </x:c>
      <x:c r="E1189" s="99" t="str">
        <x:v>/ˈrʌbɪʃ/</x:v>
      </x:c>
      <x:c r="F1189" s="99" t="str">
        <x:v>垃圾；废弃物</x:v>
      </x:c>
      <x:c r="G1189" s="99" t="str">
        <x:v>18. rubbish /ˈrʌbɪʃ/ 垃圾；废弃物</x:v>
      </x:c>
    </x:row>
    <x:row r="1190" ht="18" customHeight="1">
      <x:c r="A1190" s="99" t="str">
        <x:v>R</x:v>
      </x:c>
      <x:c r="B1190" s="99" t="str">
        <x:v>名词</x:v>
      </x:c>
      <x:c r="C1190" s="99" t="n">
        <x:v>19</x:v>
      </x:c>
      <x:c r="D1190" s="99" t="str">
        <x:v>rule</x:v>
      </x:c>
      <x:c r="E1190" s="99" t="str">
        <x:v>/ruːl/</x:v>
      </x:c>
      <x:c r="F1190" s="99" t="str">
        <x:v>规则；规章</x:v>
      </x:c>
      <x:c r="G1190" s="99" t="str">
        <x:v>19. rule /ruːl/ 规则；规章</x:v>
      </x:c>
    </x:row>
    <x:row r="1191" ht="18" customHeight="1">
      <x:c r="A1191" s="99" t="str">
        <x:v>R</x:v>
      </x:c>
      <x:c r="B1191" s="99" t="str">
        <x:v>名词</x:v>
      </x:c>
      <x:c r="C1191" s="99" t="n">
        <x:v>20</x:v>
      </x:c>
      <x:c r="D1191" s="99" t="str">
        <x:v>Russia</x:v>
      </x:c>
      <x:c r="E1191" s="99" t="str">
        <x:v>/ˈrʌʃə/</x:v>
      </x:c>
      <x:c r="F1191" s="99" t="str">
        <x:v>俄罗斯</x:v>
      </x:c>
      <x:c r="G1191" s="99" t="str">
        <x:v>20. Russia /ˈrʌʃə/ 俄罗斯</x:v>
      </x:c>
    </x:row>
    <x:row r="1192" ht="18" customHeight="1">
      <x:c r="A1192" s="99" t="str">
        <x:v>R</x:v>
      </x:c>
      <x:c r="B1192" s="99" t="str">
        <x:v>名词</x:v>
      </x:c>
      <x:c r="C1192" s="99" t="n">
        <x:v>21</x:v>
      </x:c>
      <x:c r="D1192" s="99" t="str">
        <x:v>Russian</x:v>
      </x:c>
      <x:c r="E1192" s="99" t="str">
        <x:v>/ˈrʌʃn/</x:v>
      </x:c>
      <x:c r="F1192" s="99" t="str">
        <x:v>俄罗斯人；俄语</x:v>
      </x:c>
      <x:c r="G1192" s="99" t="str">
        <x:v>21. Russian /ˈrʌʃn/ 俄罗斯人；俄语</x:v>
      </x:c>
    </x:row>
    <x:row r="1193" ht="18" customHeight="1">
      <x:c r="A1193" s="99" t="str">
        <x:v>R</x:v>
      </x:c>
      <x:c r="B1193" s="99" t="str">
        <x:v>动词</x:v>
      </x:c>
      <x:c r="C1193" s="99" t="n">
        <x:v>1</x:v>
      </x:c>
      <x:c r="D1193" s="99" t="str">
        <x:v>rain</x:v>
      </x:c>
      <x:c r="E1193" s="99" t="str">
        <x:v>/reɪn/</x:v>
      </x:c>
      <x:c r="F1193" s="99" t="str">
        <x:v>下雨</x:v>
      </x:c>
      <x:c r="G1193" s="99" t="str">
        <x:v>1. rain /reɪn/ 下雨</x:v>
      </x:c>
    </x:row>
    <x:row r="1194" ht="18" customHeight="1">
      <x:c r="A1194" s="99" t="str">
        <x:v>R</x:v>
      </x:c>
      <x:c r="B1194" s="99" t="str">
        <x:v>动词</x:v>
      </x:c>
      <x:c r="C1194" s="99" t="n">
        <x:v>2</x:v>
      </x:c>
      <x:c r="D1194" s="99" t="str">
        <x:v>reach</x:v>
      </x:c>
      <x:c r="E1194" s="99" t="str">
        <x:v>/riːtʃ/</x:v>
      </x:c>
      <x:c r="F1194" s="99" t="str">
        <x:v>到达；抵达</x:v>
      </x:c>
      <x:c r="G1194" s="99" t="str">
        <x:v>2. reach /riːtʃ/ 到达；抵达</x:v>
      </x:c>
    </x:row>
    <x:row r="1195" ht="18" customHeight="1">
      <x:c r="A1195" s="99" t="str">
        <x:v>R</x:v>
      </x:c>
      <x:c r="B1195" s="99" t="str">
        <x:v>动词</x:v>
      </x:c>
      <x:c r="C1195" s="99" t="n">
        <x:v>3</x:v>
      </x:c>
      <x:c r="D1195" s="99" t="str">
        <x:v>read</x:v>
      </x:c>
      <x:c r="E1195" s="99" t="str">
        <x:v>/riːd/</x:v>
      </x:c>
      <x:c r="F1195" s="99" t="str">
        <x:v>阅读；看懂</x:v>
      </x:c>
      <x:c r="G1195" s="99" t="str">
        <x:v>3. read /riːd/ 阅读；看懂</x:v>
      </x:c>
    </x:row>
    <x:row r="1196" ht="18" customHeight="1">
      <x:c r="A1196" s="99" t="str">
        <x:v>R</x:v>
      </x:c>
      <x:c r="B1196" s="99" t="str">
        <x:v>动词</x:v>
      </x:c>
      <x:c r="C1196" s="99" t="n">
        <x:v>4</x:v>
      </x:c>
      <x:c r="D1196" s="99" t="str">
        <x:v>receive</x:v>
      </x:c>
      <x:c r="E1196" s="99" t="str">
        <x:v>/rɪˈsiːv/</x:v>
      </x:c>
      <x:c r="F1196" s="99" t="str">
        <x:v>收到；接到</x:v>
      </x:c>
      <x:c r="G1196" s="99" t="str">
        <x:v>4. receive /rɪˈsiːv/ 收到；接到</x:v>
      </x:c>
    </x:row>
    <x:row r="1197" ht="18" customHeight="1">
      <x:c r="A1197" s="99" t="str">
        <x:v>R</x:v>
      </x:c>
      <x:c r="B1197" s="99" t="str">
        <x:v>动词</x:v>
      </x:c>
      <x:c r="C1197" s="99" t="n">
        <x:v>5</x:v>
      </x:c>
      <x:c r="D1197" s="99" t="str">
        <x:v>refuse</x:v>
      </x:c>
      <x:c r="E1197" s="99" t="str">
        <x:v>/rɪˈfjuːz/</x:v>
      </x:c>
      <x:c r="F1197" s="99" t="str">
        <x:v>拒绝</x:v>
      </x:c>
      <x:c r="G1197" s="99" t="str">
        <x:v>5. refuse /rɪˈfjuːz/ 拒绝</x:v>
      </x:c>
    </x:row>
    <x:row r="1198" ht="18" customHeight="1">
      <x:c r="A1198" s="99" t="str">
        <x:v>R</x:v>
      </x:c>
      <x:c r="B1198" s="99" t="str">
        <x:v>动词</x:v>
      </x:c>
      <x:c r="C1198" s="99" t="n">
        <x:v>6</x:v>
      </x:c>
      <x:c r="D1198" s="99" t="str">
        <x:v>regret</x:v>
      </x:c>
      <x:c r="E1198" s="99" t="str">
        <x:v>/rɪˈɡret/</x:v>
      </x:c>
      <x:c r="F1198" s="99" t="str">
        <x:v>懊悔；遗憾</x:v>
      </x:c>
      <x:c r="G1198" s="99" t="str">
        <x:v>6. regret /rɪˈɡret/ 懊悔；遗憾</x:v>
      </x:c>
    </x:row>
    <x:row r="1199" ht="18" customHeight="1">
      <x:c r="A1199" s="99" t="str">
        <x:v>R</x:v>
      </x:c>
      <x:c r="B1199" s="99" t="str">
        <x:v>动词</x:v>
      </x:c>
      <x:c r="C1199" s="99" t="n">
        <x:v>7</x:v>
      </x:c>
      <x:c r="D1199" s="99" t="str">
        <x:v>relax</x:v>
      </x:c>
      <x:c r="E1199" s="99" t="str">
        <x:v>/rɪˈlæks/</x:v>
      </x:c>
      <x:c r="F1199" s="99" t="str">
        <x:v>放松；休息</x:v>
      </x:c>
      <x:c r="G1199" s="99" t="str">
        <x:v>7. relax /rɪˈlæks/ 放松；休息</x:v>
      </x:c>
    </x:row>
    <x:row r="1200" ht="18" customHeight="1">
      <x:c r="A1200" s="99" t="str">
        <x:v>R</x:v>
      </x:c>
      <x:c r="B1200" s="99" t="str">
        <x:v>动词</x:v>
      </x:c>
      <x:c r="C1200" s="99" t="n">
        <x:v>8</x:v>
      </x:c>
      <x:c r="D1200" s="99" t="str">
        <x:v>remember</x:v>
      </x:c>
      <x:c r="E1200" s="99" t="str">
        <x:v>/rɪˈmembə/</x:v>
      </x:c>
      <x:c r="F1200" s="99" t="str">
        <x:v>记得；想起</x:v>
      </x:c>
      <x:c r="G1200" s="99" t="str">
        <x:v>8. remember /rɪˈmembə/ 记得；想起</x:v>
      </x:c>
    </x:row>
    <x:row r="1201" ht="18" customHeight="1">
      <x:c r="A1201" s="99" t="str">
        <x:v>R</x:v>
      </x:c>
      <x:c r="B1201" s="99" t="str">
        <x:v>动词</x:v>
      </x:c>
      <x:c r="C1201" s="99" t="n">
        <x:v>9</x:v>
      </x:c>
      <x:c r="D1201" s="99" t="str">
        <x:v>report</x:v>
      </x:c>
      <x:c r="E1201" s="99" t="str">
        <x:v>/rɪˈpɔːt/</x:v>
      </x:c>
      <x:c r="F1201" s="99" t="str">
        <x:v>报道；报告</x:v>
      </x:c>
      <x:c r="G1201" s="99" t="str">
        <x:v>9. report /rɪˈpɔːt/ 报道；报告</x:v>
      </x:c>
    </x:row>
    <x:row r="1202" ht="18" customHeight="1">
      <x:c r="A1202" s="99" t="str">
        <x:v>R</x:v>
      </x:c>
      <x:c r="B1202" s="99" t="str">
        <x:v>动词</x:v>
      </x:c>
      <x:c r="C1202" s="99" t="n">
        <x:v>10</x:v>
      </x:c>
      <x:c r="D1202" s="99" t="str">
        <x:v>rest</x:v>
      </x:c>
      <x:c r="E1202" s="99" t="str">
        <x:v>/rest/</x:v>
      </x:c>
      <x:c r="F1202" s="99" t="str">
        <x:v>休息；歇息</x:v>
      </x:c>
      <x:c r="G1202" s="99" t="str">
        <x:v>10. rest /rest/ 休息；歇息</x:v>
      </x:c>
    </x:row>
    <x:row r="1203" ht="18" customHeight="1">
      <x:c r="A1203" s="99" t="str">
        <x:v>R</x:v>
      </x:c>
      <x:c r="B1203" s="99" t="str">
        <x:v>动词</x:v>
      </x:c>
      <x:c r="C1203" s="99" t="n">
        <x:v>11</x:v>
      </x:c>
      <x:c r="D1203" s="99" t="str">
        <x:v>return</x:v>
      </x:c>
      <x:c r="E1203" s="99" t="str">
        <x:v>/rɪˈtɜːn/</x:v>
      </x:c>
      <x:c r="F1203" s="99" t="str">
        <x:v>返回；归还</x:v>
      </x:c>
      <x:c r="G1203" s="99" t="str">
        <x:v>11. return /rɪˈtɜːn/ 返回；归还</x:v>
      </x:c>
    </x:row>
    <x:row r="1204" ht="18" customHeight="1">
      <x:c r="A1204" s="99" t="str">
        <x:v>R</x:v>
      </x:c>
      <x:c r="B1204" s="99" t="str">
        <x:v>动词</x:v>
      </x:c>
      <x:c r="C1204" s="99" t="n">
        <x:v>12</x:v>
      </x:c>
      <x:c r="D1204" s="99" t="str">
        <x:v>ride</x:v>
      </x:c>
      <x:c r="E1204" s="99" t="str">
        <x:v>/raɪd/</x:v>
      </x:c>
      <x:c r="F1204" s="99" t="str">
        <x:v>骑（车/马）；乘</x:v>
      </x:c>
      <x:c r="G1204" s="99" t="str">
        <x:v>12. ride /raɪd/ 骑（车/马）；乘</x:v>
      </x:c>
    </x:row>
    <x:row r="1205" ht="18" customHeight="1">
      <x:c r="A1205" s="99" t="str">
        <x:v>R</x:v>
      </x:c>
      <x:c r="B1205" s="99" t="str">
        <x:v>动词</x:v>
      </x:c>
      <x:c r="C1205" s="99" t="n">
        <x:v>13</x:v>
      </x:c>
      <x:c r="D1205" s="99" t="str">
        <x:v>risk</x:v>
      </x:c>
      <x:c r="E1205" s="99" t="str">
        <x:v>/rɪsk/</x:v>
      </x:c>
      <x:c r="F1205" s="99" t="str">
        <x:v>冒……的风险</x:v>
      </x:c>
      <x:c r="G1205" s="99" t="str">
        <x:v>13. risk /rɪsk/ 冒……的风险</x:v>
      </x:c>
    </x:row>
    <x:row r="1206" ht="18" customHeight="1">
      <x:c r="A1206" s="99" t="str">
        <x:v>R</x:v>
      </x:c>
      <x:c r="B1206" s="99" t="str">
        <x:v>动词</x:v>
      </x:c>
      <x:c r="C1206" s="99" t="n">
        <x:v>14</x:v>
      </x:c>
      <x:c r="D1206" s="99" t="str">
        <x:v>rise</x:v>
      </x:c>
      <x:c r="E1206" s="99" t="str">
        <x:v>/raɪz/</x:v>
      </x:c>
      <x:c r="F1206" s="99" t="str">
        <x:v>上升；升起</x:v>
      </x:c>
      <x:c r="G1206" s="99" t="str">
        <x:v>14. rise /raɪz/ 上升；升起</x:v>
      </x:c>
    </x:row>
    <x:row r="1207" ht="18" customHeight="1">
      <x:c r="A1207" s="99" t="str">
        <x:v>R</x:v>
      </x:c>
      <x:c r="B1207" s="99" t="str">
        <x:v>动词</x:v>
      </x:c>
      <x:c r="C1207" s="99" t="n">
        <x:v>15</x:v>
      </x:c>
      <x:c r="D1207" s="99" t="str">
        <x:v>round</x:v>
      </x:c>
      <x:c r="E1207" s="99" t="str">
        <x:v>/raʊnd/</x:v>
      </x:c>
      <x:c r="F1207" s="99" t="str">
        <x:v>围绕；环绕</x:v>
      </x:c>
      <x:c r="G1207" s="99" t="str">
        <x:v>15. round /raʊnd/ 围绕；环绕</x:v>
      </x:c>
    </x:row>
    <x:row r="1208" ht="18" customHeight="1">
      <x:c r="A1208" s="99" t="str">
        <x:v>R</x:v>
      </x:c>
      <x:c r="B1208" s="99" t="str">
        <x:v>形容词</x:v>
      </x:c>
      <x:c r="C1208" s="99" t="n">
        <x:v>1</x:v>
      </x:c>
      <x:c r="D1208" s="99" t="str">
        <x:v>rainy</x:v>
      </x:c>
      <x:c r="E1208" s="99" t="str">
        <x:v>/ˈreɪni/</x:v>
      </x:c>
      <x:c r="F1208" s="99" t="str">
        <x:v>多雨的；下雨的</x:v>
      </x:c>
      <x:c r="G1208" s="99" t="str">
        <x:v>1. rainy /ˈreɪni/ 多雨的；下雨的</x:v>
      </x:c>
    </x:row>
    <x:row r="1209" ht="18" customHeight="1">
      <x:c r="A1209" s="99" t="str">
        <x:v>R</x:v>
      </x:c>
      <x:c r="B1209" s="99" t="str">
        <x:v>形容词</x:v>
      </x:c>
      <x:c r="C1209" s="99" t="n">
        <x:v>2</x:v>
      </x:c>
      <x:c r="D1209" s="99" t="str">
        <x:v>rapid</x:v>
      </x:c>
      <x:c r="E1209" s="99" t="str">
        <x:v>/ˈræpɪd/</x:v>
      </x:c>
      <x:c r="F1209" s="99" t="str">
        <x:v>迅速的；快速的</x:v>
      </x:c>
      <x:c r="G1209" s="99" t="str">
        <x:v>2. rapid /ˈræpɪd/ 迅速的；快速的</x:v>
      </x:c>
    </x:row>
    <x:row r="1210" ht="18" customHeight="1">
      <x:c r="A1210" s="99" t="str">
        <x:v>R</x:v>
      </x:c>
      <x:c r="B1210" s="99" t="str">
        <x:v>形容词</x:v>
      </x:c>
      <x:c r="C1210" s="99" t="n">
        <x:v>3</x:v>
      </x:c>
      <x:c r="D1210" s="99" t="str">
        <x:v>ready</x:v>
      </x:c>
      <x:c r="E1210" s="99" t="str">
        <x:v>/ˈredi/</x:v>
      </x:c>
      <x:c r="F1210" s="99" t="str">
        <x:v>准备好的；乐意的</x:v>
      </x:c>
      <x:c r="G1210" s="99" t="str">
        <x:v>3. ready /ˈredi/ 准备好的；乐意的</x:v>
      </x:c>
    </x:row>
    <x:row r="1211" ht="18" customHeight="1">
      <x:c r="A1211" s="99" t="str">
        <x:v>R</x:v>
      </x:c>
      <x:c r="B1211" s="99" t="str">
        <x:v>形容词</x:v>
      </x:c>
      <x:c r="C1211" s="99" t="n">
        <x:v>4</x:v>
      </x:c>
      <x:c r="D1211" s="99" t="str">
        <x:v>real</x:v>
      </x:c>
      <x:c r="E1211" s="99" t="str">
        <x:v>/riːəl/</x:v>
      </x:c>
      <x:c r="F1211" s="99" t="str">
        <x:v>真实的；真正的</x:v>
      </x:c>
      <x:c r="G1211" s="99" t="str">
        <x:v>4. real /riːəl/ 真实的；真正的</x:v>
      </x:c>
    </x:row>
    <x:row r="1212" ht="18" customHeight="1">
      <x:c r="A1212" s="99" t="str">
        <x:v>R</x:v>
      </x:c>
      <x:c r="B1212" s="99" t="str">
        <x:v>形容词</x:v>
      </x:c>
      <x:c r="C1212" s="99" t="n">
        <x:v>5</x:v>
      </x:c>
      <x:c r="D1212" s="99" t="str">
        <x:v>relaxing</x:v>
      </x:c>
      <x:c r="E1212" s="99" t="str">
        <x:v>/rɪˈlæksɪŋ/</x:v>
      </x:c>
      <x:c r="F1212" s="99" t="str">
        <x:v>令人放松的；轻松的</x:v>
      </x:c>
      <x:c r="G1212" s="99" t="str">
        <x:v>5. relaxing /rɪˈlæksɪŋ/ 令人放松的；轻松的</x:v>
      </x:c>
    </x:row>
    <x:row r="1213" ht="18" customHeight="1">
      <x:c r="A1213" s="99" t="str">
        <x:v>R</x:v>
      </x:c>
      <x:c r="B1213" s="99" t="str">
        <x:v>形容词</x:v>
      </x:c>
      <x:c r="C1213" s="99" t="n">
        <x:v>6</x:v>
      </x:c>
      <x:c r="D1213" s="99" t="str">
        <x:v>right</x:v>
      </x:c>
      <x:c r="E1213" s="99" t="str">
        <x:v>/raɪt/</x:v>
      </x:c>
      <x:c r="F1213" s="99" t="str">
        <x:v>正确的；右边的</x:v>
      </x:c>
      <x:c r="G1213" s="99" t="str">
        <x:v>6. right /raɪt/ 正确的；右边的</x:v>
      </x:c>
    </x:row>
    <x:row r="1214" ht="18" customHeight="1">
      <x:c r="A1214" s="99" t="str">
        <x:v>R</x:v>
      </x:c>
      <x:c r="B1214" s="99" t="str">
        <x:v>形容词</x:v>
      </x:c>
      <x:c r="C1214" s="99" t="n">
        <x:v>7</x:v>
      </x:c>
      <x:c r="D1214" s="99" t="str">
        <x:v>rich</x:v>
      </x:c>
      <x:c r="E1214" s="99" t="str">
        <x:v>/rɪtʃ/</x:v>
      </x:c>
      <x:c r="F1214" s="99" t="str">
        <x:v>富有的；肥沃的</x:v>
      </x:c>
      <x:c r="G1214" s="99" t="str">
        <x:v>7. rich /rɪtʃ/ 富有的；肥沃的</x:v>
      </x:c>
    </x:row>
    <x:row r="1215" ht="18" customHeight="1">
      <x:c r="A1215" s="99" t="str">
        <x:v>R</x:v>
      </x:c>
      <x:c r="B1215" s="99" t="str">
        <x:v>形容词</x:v>
      </x:c>
      <x:c r="C1215" s="99" t="n">
        <x:v>8</x:v>
      </x:c>
      <x:c r="D1215" s="99" t="str">
        <x:v>rose</x:v>
      </x:c>
      <x:c r="E1215" s="99" t="str">
        <x:v>/rəʊz/</x:v>
      </x:c>
      <x:c r="F1215" s="99" t="str">
        <x:v>玫瑰色的；粉红色的</x:v>
      </x:c>
      <x:c r="G1215" s="99" t="str">
        <x:v>8. rose /rəʊz/ 玫瑰色的；粉红色的</x:v>
      </x:c>
    </x:row>
    <x:row r="1216" ht="18" customHeight="1">
      <x:c r="A1216" s="99" t="str">
        <x:v>R</x:v>
      </x:c>
      <x:c r="B1216" s="99" t="str">
        <x:v>形容词</x:v>
      </x:c>
      <x:c r="C1216" s="99" t="n">
        <x:v>9</x:v>
      </x:c>
      <x:c r="D1216" s="99" t="str">
        <x:v>rough</x:v>
      </x:c>
      <x:c r="E1216" s="99" t="str">
        <x:v>/rʌf/</x:v>
      </x:c>
      <x:c r="F1216" s="99" t="str">
        <x:v>粗糙的；不平的</x:v>
      </x:c>
      <x:c r="G1216" s="99" t="str">
        <x:v>9. rough /rʌf/ 粗糙的；不平的</x:v>
      </x:c>
    </x:row>
    <x:row r="1217" ht="18" customHeight="1">
      <x:c r="A1217" s="99" t="str">
        <x:v>R</x:v>
      </x:c>
      <x:c r="B1217" s="99" t="str">
        <x:v>形容词</x:v>
      </x:c>
      <x:c r="C1217" s="99" t="n">
        <x:v>10</x:v>
      </x:c>
      <x:c r="D1217" s="99" t="str">
        <x:v>round</x:v>
      </x:c>
      <x:c r="E1217" s="99" t="str">
        <x:v>/raʊnd/</x:v>
      </x:c>
      <x:c r="F1217" s="99" t="str">
        <x:v>圆的；球形的</x:v>
      </x:c>
      <x:c r="G1217" s="99" t="str">
        <x:v>10. round /raʊnd/ 圆的；球形的</x:v>
      </x:c>
    </x:row>
    <x:row r="1218" ht="18" customHeight="1">
      <x:c r="A1218" s="99" t="str">
        <x:v>R</x:v>
      </x:c>
      <x:c r="B1218" s="99" t="str">
        <x:v>形容词</x:v>
      </x:c>
      <x:c r="C1218" s="99" t="n">
        <x:v>11</x:v>
      </x:c>
      <x:c r="D1218" s="99" t="str">
        <x:v>rude</x:v>
      </x:c>
      <x:c r="E1218" s="99" t="str">
        <x:v>/ruːd/</x:v>
      </x:c>
      <x:c r="F1218" s="99" t="str">
        <x:v>粗鲁的；无礼的</x:v>
      </x:c>
      <x:c r="G1218" s="99" t="str">
        <x:v>11. rude /ruːd/ 粗鲁的；无礼的</x:v>
      </x:c>
    </x:row>
    <x:row r="1219" ht="18" customHeight="1">
      <x:c r="A1219" s="99" t="str">
        <x:v>R</x:v>
      </x:c>
      <x:c r="B1219" s="99" t="str">
        <x:v>形容词</x:v>
      </x:c>
      <x:c r="C1219" s="99" t="n">
        <x:v>12</x:v>
      </x:c>
      <x:c r="D1219" s="99" t="str">
        <x:v>Russian</x:v>
      </x:c>
      <x:c r="E1219" s="99" t="str">
        <x:v>/ˈrʌʃn/</x:v>
      </x:c>
      <x:c r="F1219" s="99" t="str">
        <x:v>俄罗斯的；俄语的</x:v>
      </x:c>
      <x:c r="G1219" s="99" t="str">
        <x:v>12. Russian /ˈrʌʃn/ 俄罗斯的；俄语的</x:v>
      </x:c>
    </x:row>
    <x:row r="1220" ht="18" customHeight="1">
      <x:c r="A1220" s="99" t="str">
        <x:v>R</x:v>
      </x:c>
      <x:c r="B1220" s="99" t="str">
        <x:v>副词</x:v>
      </x:c>
      <x:c r="C1220" s="99" t="n">
        <x:v>1</x:v>
      </x:c>
      <x:c r="D1220" s="99" t="str">
        <x:v>really</x:v>
      </x:c>
      <x:c r="E1220" s="99" t="str">
        <x:v>/ˈriːəli/</x:v>
      </x:c>
      <x:c r="F1220" s="99" t="str">
        <x:v>真正地；确实</x:v>
      </x:c>
      <x:c r="G1220" s="99" t="str">
        <x:v>1. really /ˈriːəli/ 真正地；确实</x:v>
      </x:c>
    </x:row>
    <x:row r="1221" ht="18" customHeight="1">
      <x:c r="A1221" s="99" t="str">
        <x:v>R</x:v>
      </x:c>
      <x:c r="B1221" s="99" t="str">
        <x:v>副词</x:v>
      </x:c>
      <x:c r="C1221" s="99" t="n">
        <x:v>2</x:v>
      </x:c>
      <x:c r="D1221" s="99" t="str">
        <x:v>right</x:v>
      </x:c>
      <x:c r="E1221" s="99" t="str">
        <x:v>/raɪt/</x:v>
      </x:c>
      <x:c r="F1221" s="99" t="str">
        <x:v>正好；恰好；正确地</x:v>
      </x:c>
      <x:c r="G1221" s="99" t="str">
        <x:v>2. right /raɪt/ 正好；恰好；正确地</x:v>
      </x:c>
    </x:row>
    <x:row r="1222" ht="18" customHeight="1">
      <x:c r="A1222" s="99" t="str">
        <x:v>R</x:v>
      </x:c>
      <x:c r="B1222" s="99" t="str">
        <x:v>介词</x:v>
      </x:c>
      <x:c r="C1222" s="99" t="n">
        <x:v>1</x:v>
      </x:c>
      <x:c r="D1222" s="99" t="str">
        <x:v>round</x:v>
      </x:c>
      <x:c r="E1222" s="99" t="str">
        <x:v>/raʊnd/</x:v>
      </x:c>
      <x:c r="F1222" s="99" t="str">
        <x:v>围绕；环绕</x:v>
      </x:c>
      <x:c r="G1222" s="99" t="str">
        <x:v>1. round /raʊnd/ 围绕；环绕</x:v>
      </x:c>
    </x:row>
    <x:row r="1223" ht="18" customHeight="1">
      <x:c r="A1223" s="99" t="str">
        <x:v>R</x:v>
      </x:c>
      <x:c r="B1223" s="99" t="str">
        <x:v>介词</x:v>
      </x:c>
      <x:c r="C1223" s="99" t="n">
        <x:v>2</x:v>
      </x:c>
      <x:c r="D1223" s="99" t="str">
        <x:v>right</x:v>
      </x:c>
      <x:c r="E1223" s="99" t="str">
        <x:v>/raɪt/</x:v>
      </x:c>
      <x:c r="F1223" s="99" t="str">
        <x:v>向右边</x:v>
      </x:c>
      <x:c r="G1223" s="99" t="str">
        <x:v>2. right /raɪt/ 向右边</x:v>
      </x:c>
    </x:row>
    <x:row r="1224" ht="18" customHeight="1">
      <x:c r="A1224" s="99" t="str">
        <x:v>R</x:v>
      </x:c>
      <x:c r="B1224" s="99" t="str">
        <x:v>短语</x:v>
      </x:c>
      <x:c r="C1224" s="99" t="n">
        <x:v>1</x:v>
      </x:c>
      <x:c r="D1224" s="99" t="str">
        <x:v>as</x:v>
      </x:c>
      <x:c r="E1224" s="99" t="str"/>
      <x:c r="F1224" s="99" t="str">
        <x:v>a result 结果；因此</x:v>
      </x:c>
      <x:c r="G1224" s="99" t="str">
        <x:v>1. as a result 结果；因此</x:v>
      </x:c>
    </x:row>
    <x:row r="1225" ht="18" customHeight="1">
      <x:c r="A1225" s="99" t="str">
        <x:v>R</x:v>
      </x:c>
      <x:c r="B1225" s="99" t="str">
        <x:v>短语</x:v>
      </x:c>
      <x:c r="C1225" s="99" t="n">
        <x:v>2</x:v>
      </x:c>
      <x:c r="D1225" s="99" t="str">
        <x:v>be</x:v>
      </x:c>
      <x:c r="E1225" s="99" t="str"/>
      <x:c r="F1225" s="99" t="str">
        <x:v>ready to do sth. 乐于做某事</x:v>
      </x:c>
      <x:c r="G1225" s="99" t="str">
        <x:v>2. be ready to do sth. 乐于做某事</x:v>
      </x:c>
    </x:row>
    <x:row r="1226" ht="18" customHeight="1">
      <x:c r="A1226" s="99" t="str">
        <x:v>R</x:v>
      </x:c>
      <x:c r="B1226" s="99" t="str">
        <x:v>短语</x:v>
      </x:c>
      <x:c r="C1226" s="99" t="n">
        <x:v>3</x:v>
      </x:c>
      <x:c r="D1226" s="99" t="str">
        <x:v>be</x:v>
      </x:c>
      <x:c r="E1226" s="99" t="str"/>
      <x:c r="F1226" s="99" t="str">
        <x:v>ready for 为……做好准备</x:v>
      </x:c>
      <x:c r="G1226" s="99" t="str">
        <x:v>3. be ready for 为……做好准备</x:v>
      </x:c>
    </x:row>
    <x:row r="1227" ht="18" customHeight="1">
      <x:c r="A1227" s="99" t="str">
        <x:v>R</x:v>
      </x:c>
      <x:c r="B1227" s="99" t="str">
        <x:v>短语</x:v>
      </x:c>
      <x:c r="C1227" s="99" t="n">
        <x:v>4</x:v>
      </x:c>
      <x:c r="D1227" s="99" t="str">
        <x:v>in</x:v>
      </x:c>
      <x:c r="E1227" s="99" t="str"/>
      <x:c r="F1227" s="99" t="str">
        <x:v>the right way 用正确的方式</x:v>
      </x:c>
      <x:c r="G1227" s="99" t="str">
        <x:v>4. in the right way 用正确的方式</x:v>
      </x:c>
    </x:row>
    <x:row r="1228" ht="18" customHeight="1">
      <x:c r="A1228" s="99" t="str">
        <x:v>R</x:v>
      </x:c>
      <x:c r="B1228" s="99" t="str">
        <x:v>短语</x:v>
      </x:c>
      <x:c r="C1228" s="99" t="n">
        <x:v>5</x:v>
      </x:c>
      <x:c r="D1228" s="99" t="str">
        <x:v>on</x:v>
      </x:c>
      <x:c r="E1228" s="99" t="str"/>
      <x:c r="F1228" s="99" t="str">
        <x:v>the right 在右边</x:v>
      </x:c>
      <x:c r="G1228" s="99" t="str">
        <x:v>5. on the right 在右边</x:v>
      </x:c>
    </x:row>
    <x:row r="1229" ht="18" customHeight="1">
      <x:c r="A1229" s="99" t="str">
        <x:v>R</x:v>
      </x:c>
      <x:c r="B1229" s="99" t="str">
        <x:v>短语</x:v>
      </x:c>
      <x:c r="C1229" s="99" t="n">
        <x:v>6</x:v>
      </x:c>
      <x:c r="D1229" s="99" t="str">
        <x:v>read</x:v>
      </x:c>
      <x:c r="E1229" s="99" t="str"/>
      <x:c r="F1229" s="99" t="str">
        <x:v>a book 读书</x:v>
      </x:c>
      <x:c r="G1229" s="99" t="str">
        <x:v>6. read a book 读书</x:v>
      </x:c>
    </x:row>
    <x:row r="1230" ht="18" customHeight="1">
      <x:c r="A1230" s="99" t="str">
        <x:v>R</x:v>
      </x:c>
      <x:c r="B1230" s="99" t="str">
        <x:v>短语</x:v>
      </x:c>
      <x:c r="C1230" s="99" t="n">
        <x:v>7</x:v>
      </x:c>
      <x:c r="D1230" s="99" t="str">
        <x:v>ride</x:v>
      </x:c>
      <x:c r="E1230" s="99" t="str"/>
      <x:c r="F1230" s="99" t="str">
        <x:v>a bike 骑自行车</x:v>
      </x:c>
      <x:c r="G1230" s="99" t="str">
        <x:v>7. ride a bike 骑自行车</x:v>
      </x:c>
    </x:row>
    <x:row r="1231" ht="18" customHeight="1">
      <x:c r="A1231" s="99" t="str">
        <x:v>R</x:v>
      </x:c>
      <x:c r="B1231" s="99" t="str">
        <x:v>短语</x:v>
      </x:c>
      <x:c r="C1231" s="99" t="n">
        <x:v>8</x:v>
      </x:c>
      <x:c r="D1231" s="99" t="str">
        <x:v>rise</x:v>
      </x:c>
      <x:c r="E1231" s="99" t="str"/>
      <x:c r="F1231" s="99" t="str">
        <x:v>up 升起；上升</x:v>
      </x:c>
      <x:c r="G1231" s="99" t="str">
        <x:v>8. rise up 升起；上升</x:v>
      </x:c>
    </x:row>
    <x:row r="1232" ht="18" customHeight="1">
      <x:c r="A1232" s="99" t="str">
        <x:v>R</x:v>
      </x:c>
      <x:c r="B1232" s="99" t="str">
        <x:v>短语</x:v>
      </x:c>
      <x:c r="C1232" s="99" t="n">
        <x:v>9</x:v>
      </x:c>
      <x:c r="D1232" s="99" t="str">
        <x:v>round</x:v>
      </x:c>
      <x:c r="E1232" s="99" t="str"/>
      <x:c r="F1232" s="99" t="str">
        <x:v>the corner 在拐角处；即将来临</x:v>
      </x:c>
      <x:c r="G1232" s="99" t="str">
        <x:v>9. round the corner 在拐角处；即将来临</x:v>
      </x:c>
    </x:row>
    <x:row r="1233" ht="18" customHeight="1">
      <x:c r="A1233" s="99" t="str">
        <x:v>R</x:v>
      </x:c>
      <x:c r="B1233" s="99" t="str">
        <x:v>短语</x:v>
      </x:c>
      <x:c r="C1233" s="99" t="n">
        <x:v>10</x:v>
      </x:c>
      <x:c r="D1233" s="99" t="str">
        <x:v>rule</x:v>
      </x:c>
      <x:c r="E1233" s="99" t="str"/>
      <x:c r="F1233" s="99" t="str">
        <x:v>out 排除</x:v>
      </x:c>
      <x:c r="G1233" s="99" t="str">
        <x:v>10. rule out 排除</x:v>
      </x:c>
    </x:row>
    <x:row r="1234" ht="18" customHeight="1">
      <x:c r="A1234" s="99" t="str">
        <x:v>S</x:v>
      </x:c>
      <x:c r="B1234" s="99" t="str">
        <x:v>名词</x:v>
      </x:c>
      <x:c r="C1234" s="99" t="n">
        <x:v>1</x:v>
      </x:c>
      <x:c r="D1234" s="99" t="str">
        <x:v>sausage</x:v>
      </x:c>
      <x:c r="E1234" s="99" t="str">
        <x:v>/ˈsɒsɪdʒ/</x:v>
      </x:c>
      <x:c r="F1234" s="99" t="str">
        <x:v>香肠；腊肠</x:v>
      </x:c>
      <x:c r="G1234" s="99" t="str">
        <x:v>1. sausage /ˈsɒsɪdʒ/ 香肠；腊肠</x:v>
      </x:c>
    </x:row>
    <x:row r="1235" ht="18" customHeight="1">
      <x:c r="A1235" s="99" t="str">
        <x:v>S</x:v>
      </x:c>
      <x:c r="B1235" s="99" t="str">
        <x:v>名词</x:v>
      </x:c>
      <x:c r="C1235" s="99" t="n">
        <x:v>2</x:v>
      </x:c>
      <x:c r="D1235" s="99" t="str">
        <x:v>sandwich</x:v>
      </x:c>
      <x:c r="E1235" s="99" t="str">
        <x:v>/ˈsænwɪtʃ/</x:v>
      </x:c>
      <x:c r="F1235" s="99" t="str">
        <x:v>三明治；夹心面包片</x:v>
      </x:c>
      <x:c r="G1235" s="99" t="str">
        <x:v>2. sandwich /ˈsænwɪtʃ/ 三明治；夹心面包片</x:v>
      </x:c>
    </x:row>
    <x:row r="1236" ht="18" customHeight="1">
      <x:c r="A1236" s="99" t="str">
        <x:v>S</x:v>
      </x:c>
      <x:c r="B1236" s="99" t="str">
        <x:v>名词</x:v>
      </x:c>
      <x:c r="C1236" s="99" t="n">
        <x:v>3</x:v>
      </x:c>
      <x:c r="D1236" s="99" t="str">
        <x:v>salt</x:v>
      </x:c>
      <x:c r="E1236" s="99" t="str">
        <x:v>/sɔːlt/</x:v>
      </x:c>
      <x:c r="F1236" s="99" t="str">
        <x:v>盐；食盐</x:v>
      </x:c>
      <x:c r="G1236" s="99" t="str">
        <x:v>3. salt /sɔːlt/ 盐；食盐</x:v>
      </x:c>
    </x:row>
    <x:row r="1237" ht="18" customHeight="1">
      <x:c r="A1237" s="99" t="str">
        <x:v>S</x:v>
      </x:c>
      <x:c r="B1237" s="99" t="str">
        <x:v>名词</x:v>
      </x:c>
      <x:c r="C1237" s="99" t="n">
        <x:v>4</x:v>
      </x:c>
      <x:c r="D1237" s="99" t="str">
        <x:v>science</x:v>
      </x:c>
      <x:c r="E1237" s="99" t="str">
        <x:v>/ˈsaɪəns/</x:v>
      </x:c>
      <x:c r="F1237" s="99" t="str">
        <x:v>科学</x:v>
      </x:c>
      <x:c r="G1237" s="99" t="str">
        <x:v>4. science /ˈsaɪəns/ 科学</x:v>
      </x:c>
    </x:row>
    <x:row r="1238" ht="18" customHeight="1">
      <x:c r="A1238" s="99" t="str">
        <x:v>S</x:v>
      </x:c>
      <x:c r="B1238" s="99" t="str">
        <x:v>名词</x:v>
      </x:c>
      <x:c r="C1238" s="99" t="n">
        <x:v>5</x:v>
      </x:c>
      <x:c r="D1238" s="99" t="str">
        <x:v>scientist</x:v>
      </x:c>
      <x:c r="E1238" s="99" t="str">
        <x:v>/ˈsaɪəntɪst/</x:v>
      </x:c>
      <x:c r="F1238" s="99" t="str">
        <x:v>科学家</x:v>
      </x:c>
      <x:c r="G1238" s="99" t="str">
        <x:v>5. scientist /ˈsaɪəntɪst/ 科学家</x:v>
      </x:c>
    </x:row>
    <x:row r="1239" ht="18" customHeight="1">
      <x:c r="A1239" s="99" t="str">
        <x:v>S</x:v>
      </x:c>
      <x:c r="B1239" s="99" t="str">
        <x:v>名词</x:v>
      </x:c>
      <x:c r="C1239" s="99" t="n">
        <x:v>6</x:v>
      </x:c>
      <x:c r="D1239" s="99" t="str">
        <x:v>scarf</x:v>
      </x:c>
      <x:c r="E1239" s="99" t="str">
        <x:v>/skɑːf/</x:v>
      </x:c>
      <x:c r="F1239" s="99" t="str">
        <x:v>围巾</x:v>
      </x:c>
      <x:c r="G1239" s="99" t="str">
        <x:v>6. scarf /skɑːf/ 围巾</x:v>
      </x:c>
    </x:row>
    <x:row r="1240" ht="18" customHeight="1">
      <x:c r="A1240" s="99" t="str">
        <x:v>S</x:v>
      </x:c>
      <x:c r="B1240" s="99" t="str">
        <x:v>名词</x:v>
      </x:c>
      <x:c r="C1240" s="99" t="n">
        <x:v>7</x:v>
      </x:c>
      <x:c r="D1240" s="99" t="str">
        <x:v>school</x:v>
      </x:c>
      <x:c r="E1240" s="99" t="str">
        <x:v>/skuːl/</x:v>
      </x:c>
      <x:c r="F1240" s="99" t="str">
        <x:v>学校</x:v>
      </x:c>
      <x:c r="G1240" s="99" t="str">
        <x:v>7. school /skuːl/ 学校</x:v>
      </x:c>
    </x:row>
    <x:row r="1241" ht="18" customHeight="1">
      <x:c r="A1241" s="99" t="str">
        <x:v>S</x:v>
      </x:c>
      <x:c r="B1241" s="99" t="str">
        <x:v>名词</x:v>
      </x:c>
      <x:c r="C1241" s="99" t="n">
        <x:v>8</x:v>
      </x:c>
      <x:c r="D1241" s="99" t="str">
        <x:v>science</x:v>
      </x:c>
      <x:c r="E1241" s="99" t="str">
        <x:v>/ˈsaɪəns/</x:v>
      </x:c>
      <x:c r="F1241" s="99" t="str">
        <x:v>科学</x:v>
      </x:c>
      <x:c r="G1241" s="99" t="str">
        <x:v>8. science /ˈsaɪəns/ 科学</x:v>
      </x:c>
    </x:row>
    <x:row r="1242" ht="18" customHeight="1">
      <x:c r="A1242" s="99" t="str">
        <x:v>S</x:v>
      </x:c>
      <x:c r="B1242" s="99" t="str">
        <x:v>名词</x:v>
      </x:c>
      <x:c r="C1242" s="99" t="n">
        <x:v>9</x:v>
      </x:c>
      <x:c r="D1242" s="99" t="str">
        <x:v>score</x:v>
      </x:c>
      <x:c r="E1242" s="99" t="str">
        <x:v>/skɔː(r)/</x:v>
      </x:c>
      <x:c r="F1242" s="99" t="str">
        <x:v>得分；成绩</x:v>
      </x:c>
      <x:c r="G1242" s="99" t="str">
        <x:v>9. score /skɔː(r)/ 得分；成绩</x:v>
      </x:c>
    </x:row>
    <x:row r="1243" ht="18" customHeight="1">
      <x:c r="A1243" s="99" t="str">
        <x:v>S</x:v>
      </x:c>
      <x:c r="B1243" s="99" t="str">
        <x:v>名词</x:v>
      </x:c>
      <x:c r="C1243" s="99" t="n">
        <x:v>10</x:v>
      </x:c>
      <x:c r="D1243" s="99" t="str">
        <x:v>sea</x:v>
      </x:c>
      <x:c r="E1243" s="99" t="str">
        <x:v>/siː/</x:v>
      </x:c>
      <x:c r="F1243" s="99" t="str">
        <x:v>海；海洋</x:v>
      </x:c>
      <x:c r="G1243" s="99" t="str">
        <x:v>10. sea /siː/ 海；海洋</x:v>
      </x:c>
    </x:row>
    <x:row r="1244" ht="18" customHeight="1">
      <x:c r="A1244" s="99" t="str">
        <x:v>S</x:v>
      </x:c>
      <x:c r="B1244" s="99" t="str">
        <x:v>名词</x:v>
      </x:c>
      <x:c r="C1244" s="99" t="n">
        <x:v>11</x:v>
      </x:c>
      <x:c r="D1244" s="99" t="str">
        <x:v>season</x:v>
      </x:c>
      <x:c r="E1244" s="99" t="str">
        <x:v>/ˈsiːzn/</x:v>
      </x:c>
      <x:c r="F1244" s="99" t="str">
        <x:v>季；季节</x:v>
      </x:c>
      <x:c r="G1244" s="99" t="str">
        <x:v>11. season /ˈsiːzn/ 季；季节</x:v>
      </x:c>
    </x:row>
    <x:row r="1245" ht="18" customHeight="1">
      <x:c r="A1245" s="99" t="str">
        <x:v>S</x:v>
      </x:c>
      <x:c r="B1245" s="99" t="str">
        <x:v>名词</x:v>
      </x:c>
      <x:c r="C1245" s="99" t="n">
        <x:v>12</x:v>
      </x:c>
      <x:c r="D1245" s="99" t="str">
        <x:v>seat</x:v>
      </x:c>
      <x:c r="E1245" s="99" t="str">
        <x:v>/siːt/</x:v>
      </x:c>
      <x:c r="F1245" s="99" t="str">
        <x:v>座位</x:v>
      </x:c>
      <x:c r="G1245" s="99" t="str">
        <x:v>12. seat /siːt/ 座位</x:v>
      </x:c>
    </x:row>
    <x:row r="1246" ht="18" customHeight="1">
      <x:c r="A1246" s="99" t="str">
        <x:v>S</x:v>
      </x:c>
      <x:c r="B1246" s="99" t="str">
        <x:v>名词</x:v>
      </x:c>
      <x:c r="C1246" s="99" t="n">
        <x:v>13</x:v>
      </x:c>
      <x:c r="D1246" s="99" t="str">
        <x:v>second</x:v>
      </x:c>
      <x:c r="E1246" s="99" t="str">
        <x:v>/ˈsekənd/</x:v>
      </x:c>
      <x:c r="F1246" s="99" t="str">
        <x:v>秒；第二</x:v>
      </x:c>
      <x:c r="G1246" s="99" t="str">
        <x:v>13. second /ˈsekənd/ 秒；第二</x:v>
      </x:c>
    </x:row>
    <x:row r="1247" ht="18" customHeight="1">
      <x:c r="A1247" s="99" t="str">
        <x:v>S</x:v>
      </x:c>
      <x:c r="B1247" s="99" t="str">
        <x:v>名词</x:v>
      </x:c>
      <x:c r="C1247" s="99" t="n">
        <x:v>14</x:v>
      </x:c>
      <x:c r="D1247" s="99" t="str">
        <x:v>sentence</x:v>
      </x:c>
      <x:c r="E1247" s="99" t="str">
        <x:v>/ˈsentəns/</x:v>
      </x:c>
      <x:c r="F1247" s="99" t="str">
        <x:v>句子</x:v>
      </x:c>
      <x:c r="G1247" s="99" t="str">
        <x:v>14. sentence /ˈsentəns/ 句子</x:v>
      </x:c>
    </x:row>
    <x:row r="1248" ht="18" customHeight="1">
      <x:c r="A1248" s="99" t="str">
        <x:v>S</x:v>
      </x:c>
      <x:c r="B1248" s="99" t="str">
        <x:v>名词</x:v>
      </x:c>
      <x:c r="C1248" s="99" t="n">
        <x:v>15</x:v>
      </x:c>
      <x:c r="D1248" s="99" t="str">
        <x:v>September</x:v>
      </x:c>
      <x:c r="E1248" s="99" t="str">
        <x:v>/sepˈtembə(r)/</x:v>
      </x:c>
      <x:c r="F1248" s="99" t="str">
        <x:v>九月</x:v>
      </x:c>
      <x:c r="G1248" s="99" t="str">
        <x:v>15. September /sepˈtembə(r)/ 九月</x:v>
      </x:c>
    </x:row>
    <x:row r="1249" ht="18" customHeight="1">
      <x:c r="A1249" s="99" t="str">
        <x:v>S</x:v>
      </x:c>
      <x:c r="B1249" s="99" t="str">
        <x:v>名词</x:v>
      </x:c>
      <x:c r="C1249" s="99" t="n">
        <x:v>16</x:v>
      </x:c>
      <x:c r="D1249" s="99" t="str">
        <x:v>service</x:v>
      </x:c>
      <x:c r="E1249" s="99" t="str">
        <x:v>/ˈsɜːvɪs/</x:v>
      </x:c>
      <x:c r="F1249" s="99" t="str">
        <x:v>公共服务；服务</x:v>
      </x:c>
      <x:c r="G1249" s="99" t="str">
        <x:v>16. service /ˈsɜːvɪs/ 公共服务；服务</x:v>
      </x:c>
    </x:row>
    <x:row r="1250" ht="18" customHeight="1">
      <x:c r="A1250" s="99" t="str">
        <x:v>S</x:v>
      </x:c>
      <x:c r="B1250" s="99" t="str">
        <x:v>名词</x:v>
      </x:c>
      <x:c r="C1250" s="99" t="n">
        <x:v>17</x:v>
      </x:c>
      <x:c r="D1250" s="99" t="str">
        <x:v>shark</x:v>
      </x:c>
      <x:c r="E1250" s="99" t="str">
        <x:v>/ʃɑːk/</x:v>
      </x:c>
      <x:c r="F1250" s="99" t="str">
        <x:v>鲨鱼</x:v>
      </x:c>
      <x:c r="G1250" s="99" t="str">
        <x:v>17. shark /ʃɑːk/ 鲨鱼</x:v>
      </x:c>
    </x:row>
    <x:row r="1251" ht="18" customHeight="1">
      <x:c r="A1251" s="99" t="str">
        <x:v>S</x:v>
      </x:c>
      <x:c r="B1251" s="99" t="str">
        <x:v>名词</x:v>
      </x:c>
      <x:c r="C1251" s="99" t="n">
        <x:v>18</x:v>
      </x:c>
      <x:c r="D1251" s="99" t="str">
        <x:v>shirt</x:v>
      </x:c>
      <x:c r="E1251" s="99" t="str">
        <x:v>/ʃɜːt/</x:v>
      </x:c>
      <x:c r="F1251" s="99" t="str">
        <x:v>衬衫</x:v>
      </x:c>
      <x:c r="G1251" s="99" t="str">
        <x:v>18. shirt /ʃɜːt/ 衬衫</x:v>
      </x:c>
    </x:row>
    <x:row r="1252" ht="18" customHeight="1">
      <x:c r="A1252" s="99" t="str">
        <x:v>S</x:v>
      </x:c>
      <x:c r="B1252" s="99" t="str">
        <x:v>名词</x:v>
      </x:c>
      <x:c r="C1252" s="99" t="n">
        <x:v>19</x:v>
      </x:c>
      <x:c r="D1252" s="99" t="str">
        <x:v>shoe</x:v>
      </x:c>
      <x:c r="E1252" s="99" t="str">
        <x:v>/ʃuː/</x:v>
      </x:c>
      <x:c r="F1252" s="99" t="str">
        <x:v>鞋</x:v>
      </x:c>
      <x:c r="G1252" s="99" t="str">
        <x:v>19. shoe /ʃuː/ 鞋</x:v>
      </x:c>
    </x:row>
    <x:row r="1253" ht="18" customHeight="1">
      <x:c r="A1253" s="99" t="str">
        <x:v>S</x:v>
      </x:c>
      <x:c r="B1253" s="99" t="str">
        <x:v>名词</x:v>
      </x:c>
      <x:c r="C1253" s="99" t="n">
        <x:v>20</x:v>
      </x:c>
      <x:c r="D1253" s="99" t="str">
        <x:v>shop</x:v>
      </x:c>
      <x:c r="E1253" s="99" t="str">
        <x:v>/ʃɒp/</x:v>
      </x:c>
      <x:c r="F1253" s="99" t="str">
        <x:v>商店；购物</x:v>
      </x:c>
      <x:c r="G1253" s="99" t="str">
        <x:v>20. shop /ʃɒp/ 商店；购物</x:v>
      </x:c>
    </x:row>
    <x:row r="1254" ht="18" customHeight="1">
      <x:c r="A1254" s="99" t="str">
        <x:v>S</x:v>
      </x:c>
      <x:c r="B1254" s="99" t="str">
        <x:v>名词</x:v>
      </x:c>
      <x:c r="C1254" s="99" t="n">
        <x:v>21</x:v>
      </x:c>
      <x:c r="D1254" s="99" t="str">
        <x:v>short</x:v>
      </x:c>
      <x:c r="E1254" s="99" t="str">
        <x:v>/ʃɔːt/</x:v>
      </x:c>
      <x:c r="F1254" s="99" t="str">
        <x:v>短裤</x:v>
      </x:c>
      <x:c r="G1254" s="99" t="str">
        <x:v>21. short /ʃɔːt/ 短裤</x:v>
      </x:c>
    </x:row>
    <x:row r="1255" ht="18" customHeight="1">
      <x:c r="A1255" s="99" t="str">
        <x:v>S</x:v>
      </x:c>
      <x:c r="B1255" s="99" t="str">
        <x:v>名词</x:v>
      </x:c>
      <x:c r="C1255" s="99" t="n">
        <x:v>22</x:v>
      </x:c>
      <x:c r="D1255" s="99" t="str">
        <x:v>shoulder</x:v>
      </x:c>
      <x:c r="E1255" s="99" t="str">
        <x:v>/ˈʃəʊldə(r)/</x:v>
      </x:c>
      <x:c r="F1255" s="99" t="str">
        <x:v>肩；肩膀</x:v>
      </x:c>
      <x:c r="G1255" s="99" t="str">
        <x:v>22. shoulder /ˈʃəʊldə(r)/ 肩；肩膀</x:v>
      </x:c>
    </x:row>
    <x:row r="1256" ht="18" customHeight="1">
      <x:c r="A1256" s="99" t="str">
        <x:v>S</x:v>
      </x:c>
      <x:c r="B1256" s="99" t="str">
        <x:v>名词</x:v>
      </x:c>
      <x:c r="C1256" s="99" t="n">
        <x:v>23</x:v>
      </x:c>
      <x:c r="D1256" s="99" t="str">
        <x:v>show</x:v>
      </x:c>
      <x:c r="E1256" s="99" t="str">
        <x:v>/ʃəʊ/</x:v>
      </x:c>
      <x:c r="F1256" s="99" t="str">
        <x:v>演出；表演</x:v>
      </x:c>
      <x:c r="G1256" s="99" t="str">
        <x:v>23. show /ʃəʊ/ 演出；表演</x:v>
      </x:c>
    </x:row>
    <x:row r="1257" ht="18" customHeight="1">
      <x:c r="A1257" s="99" t="str">
        <x:v>S</x:v>
      </x:c>
      <x:c r="B1257" s="99" t="str">
        <x:v>名词</x:v>
      </x:c>
      <x:c r="C1257" s="99" t="n">
        <x:v>24</x:v>
      </x:c>
      <x:c r="D1257" s="99" t="str">
        <x:v>shower</x:v>
      </x:c>
      <x:c r="E1257" s="99" t="str">
        <x:v>/ˈʃaʊə(r)/</x:v>
      </x:c>
      <x:c r="F1257" s="99" t="str">
        <x:v>阵雨；淋浴</x:v>
      </x:c>
      <x:c r="G1257" s="99" t="str">
        <x:v>24. shower /ˈʃaʊə(r)/ 阵雨；淋浴</x:v>
      </x:c>
    </x:row>
    <x:row r="1258" ht="18" customHeight="1">
      <x:c r="A1258" s="99" t="str">
        <x:v>S</x:v>
      </x:c>
      <x:c r="B1258" s="99" t="str">
        <x:v>名词</x:v>
      </x:c>
      <x:c r="C1258" s="99" t="n">
        <x:v>25</x:v>
      </x:c>
      <x:c r="D1258" s="99" t="str">
        <x:v>side</x:v>
      </x:c>
      <x:c r="E1258" s="99" t="str">
        <x:v>/saɪd/</x:v>
      </x:c>
      <x:c r="F1258" s="99" t="str">
        <x:v>边；侧</x:v>
      </x:c>
      <x:c r="G1258" s="99" t="str">
        <x:v>25. side /saɪd/ 边；侧</x:v>
      </x:c>
    </x:row>
    <x:row r="1259" ht="18" customHeight="1">
      <x:c r="A1259" s="99" t="str">
        <x:v>S</x:v>
      </x:c>
      <x:c r="B1259" s="99" t="str">
        <x:v>名词</x:v>
      </x:c>
      <x:c r="C1259" s="99" t="n">
        <x:v>26</x:v>
      </x:c>
      <x:c r="D1259" s="99" t="str">
        <x:v>sign</x:v>
      </x:c>
      <x:c r="E1259" s="99" t="str">
        <x:v>/saɪn/</x:v>
      </x:c>
      <x:c r="F1259" s="99" t="str">
        <x:v>标志；信号</x:v>
      </x:c>
      <x:c r="G1259" s="99" t="str">
        <x:v>26. sign /saɪn/ 标志；信号</x:v>
      </x:c>
    </x:row>
    <x:row r="1260" ht="18" customHeight="1">
      <x:c r="A1260" s="99" t="str">
        <x:v>S</x:v>
      </x:c>
      <x:c r="B1260" s="99" t="str">
        <x:v>名词</x:v>
      </x:c>
      <x:c r="C1260" s="99" t="n">
        <x:v>27</x:v>
      </x:c>
      <x:c r="D1260" s="99" t="str">
        <x:v>silence</x:v>
      </x:c>
      <x:c r="E1260" s="99" t="str">
        <x:v>/ˈsaɪləns/</x:v>
      </x:c>
      <x:c r="F1260" s="99" t="str">
        <x:v>寂静；无声</x:v>
      </x:c>
      <x:c r="G1260" s="99" t="str">
        <x:v>27. silence /ˈsaɪləns/ 寂静；无声</x:v>
      </x:c>
    </x:row>
    <x:row r="1261" ht="18" customHeight="1">
      <x:c r="A1261" s="99" t="str">
        <x:v>S</x:v>
      </x:c>
      <x:c r="B1261" s="99" t="str">
        <x:v>名词</x:v>
      </x:c>
      <x:c r="C1261" s="99" t="n">
        <x:v>28</x:v>
      </x:c>
      <x:c r="D1261" s="99" t="str">
        <x:v>silk</x:v>
      </x:c>
      <x:c r="E1261" s="99" t="str">
        <x:v>/sɪlk/</x:v>
      </x:c>
      <x:c r="F1261" s="99" t="str">
        <x:v>丝绸</x:v>
      </x:c>
      <x:c r="G1261" s="99" t="str">
        <x:v>28. silk /sɪlk/ 丝绸</x:v>
      </x:c>
    </x:row>
    <x:row r="1262" ht="18" customHeight="1">
      <x:c r="A1262" s="99" t="str">
        <x:v>S</x:v>
      </x:c>
      <x:c r="B1262" s="99" t="str">
        <x:v>名词</x:v>
      </x:c>
      <x:c r="C1262" s="99" t="n">
        <x:v>29</x:v>
      </x:c>
      <x:c r="D1262" s="99" t="str">
        <x:v>silver</x:v>
      </x:c>
      <x:c r="E1262" s="99" t="str">
        <x:v>/ˈsɪlvə(r)/</x:v>
      </x:c>
      <x:c r="F1262" s="99" t="str">
        <x:v>银；银器</x:v>
      </x:c>
      <x:c r="G1262" s="99" t="str">
        <x:v>29. silver /ˈsɪlvə(r)/ 银；银器</x:v>
      </x:c>
    </x:row>
    <x:row r="1263" ht="18" customHeight="1">
      <x:c r="A1263" s="99" t="str">
        <x:v>S</x:v>
      </x:c>
      <x:c r="B1263" s="99" t="str">
        <x:v>名词</x:v>
      </x:c>
      <x:c r="C1263" s="99" t="n">
        <x:v>30</x:v>
      </x:c>
      <x:c r="D1263" s="99" t="str">
        <x:v>site</x:v>
      </x:c>
      <x:c r="E1263" s="99" t="str">
        <x:v>/saɪt/</x:v>
      </x:c>
      <x:c r="F1263" s="99" t="str">
        <x:v>地点；位置</x:v>
      </x:c>
      <x:c r="G1263" s="99" t="str">
        <x:v>30. site /saɪt/ 地点；位置</x:v>
      </x:c>
    </x:row>
    <x:row r="1264" ht="18" customHeight="1">
      <x:c r="A1264" s="99" t="str">
        <x:v>S</x:v>
      </x:c>
      <x:c r="B1264" s="99" t="str">
        <x:v>名词</x:v>
      </x:c>
      <x:c r="C1264" s="99" t="n">
        <x:v>31</x:v>
      </x:c>
      <x:c r="D1264" s="99" t="str">
        <x:v>size</x:v>
      </x:c>
      <x:c r="E1264" s="99" t="str">
        <x:v>/saɪz/</x:v>
      </x:c>
      <x:c r="F1264" s="99" t="str">
        <x:v>尺码；号</x:v>
      </x:c>
      <x:c r="G1264" s="99" t="str">
        <x:v>31. size /saɪz/ 尺码；号</x:v>
      </x:c>
    </x:row>
    <x:row r="1265" ht="18" customHeight="1">
      <x:c r="A1265" s="99" t="str">
        <x:v>S</x:v>
      </x:c>
      <x:c r="B1265" s="99" t="str">
        <x:v>名词</x:v>
      </x:c>
      <x:c r="C1265" s="99" t="n">
        <x:v>32</x:v>
      </x:c>
      <x:c r="D1265" s="99" t="str">
        <x:v>skill</x:v>
      </x:c>
      <x:c r="E1265" s="99" t="str">
        <x:v>/skɪl/</x:v>
      </x:c>
      <x:c r="F1265" s="99" t="str">
        <x:v>技能；技巧</x:v>
      </x:c>
      <x:c r="G1265" s="99" t="str">
        <x:v>32. skill /skɪl/ 技能；技巧</x:v>
      </x:c>
    </x:row>
    <x:row r="1266" ht="18" customHeight="1">
      <x:c r="A1266" s="99" t="str">
        <x:v>S</x:v>
      </x:c>
      <x:c r="B1266" s="99" t="str">
        <x:v>名词</x:v>
      </x:c>
      <x:c r="C1266" s="99" t="n">
        <x:v>33</x:v>
      </x:c>
      <x:c r="D1266" s="99" t="str">
        <x:v>sky</x:v>
      </x:c>
      <x:c r="E1266" s="99" t="str">
        <x:v>/skaɪ/</x:v>
      </x:c>
      <x:c r="F1266" s="99" t="str">
        <x:v>天空</x:v>
      </x:c>
      <x:c r="G1266" s="99" t="str">
        <x:v>33. sky /skaɪ/ 天空</x:v>
      </x:c>
    </x:row>
    <x:row r="1267" ht="18" customHeight="1">
      <x:c r="A1267" s="99" t="str">
        <x:v>S</x:v>
      </x:c>
      <x:c r="B1267" s="99" t="str">
        <x:v>名词</x:v>
      </x:c>
      <x:c r="C1267" s="99" t="n">
        <x:v>34</x:v>
      </x:c>
      <x:c r="D1267" s="99" t="str">
        <x:v>sleep</x:v>
      </x:c>
      <x:c r="E1267" s="99" t="str">
        <x:v>/sliːp/</x:v>
      </x:c>
      <x:c r="F1267" s="99" t="str">
        <x:v>睡眠</x:v>
      </x:c>
      <x:c r="G1267" s="99" t="str">
        <x:v>34. sleep /sliːp/ 睡眠</x:v>
      </x:c>
    </x:row>
    <x:row r="1268" ht="18" customHeight="1">
      <x:c r="A1268" s="99" t="str">
        <x:v>S</x:v>
      </x:c>
      <x:c r="B1268" s="99" t="str">
        <x:v>名词</x:v>
      </x:c>
      <x:c r="C1268" s="99" t="n">
        <x:v>35</x:v>
      </x:c>
      <x:c r="D1268" s="99" t="str">
        <x:v>slow</x:v>
      </x:c>
      <x:c r="E1268" s="99" t="str">
        <x:v>/sləʊ/</x:v>
      </x:c>
      <x:c r="F1268" s="99" t="str">
        <x:v>慢；缓慢</x:v>
      </x:c>
      <x:c r="G1268" s="99" t="str">
        <x:v>35. slow /sləʊ/ 慢；缓慢</x:v>
      </x:c>
    </x:row>
    <x:row r="1269" ht="18" customHeight="1">
      <x:c r="A1269" s="99" t="str">
        <x:v>S</x:v>
      </x:c>
      <x:c r="B1269" s="99" t="str">
        <x:v>名词</x:v>
      </x:c>
      <x:c r="C1269" s="99" t="n">
        <x:v>36</x:v>
      </x:c>
      <x:c r="D1269" s="99" t="str">
        <x:v>smile</x:v>
      </x:c>
      <x:c r="E1269" s="99" t="str">
        <x:v>/smaɪl/</x:v>
      </x:c>
      <x:c r="F1269" s="99" t="str">
        <x:v>微笑</x:v>
      </x:c>
      <x:c r="G1269" s="99" t="str">
        <x:v>36. smile /smaɪl/ 微笑</x:v>
      </x:c>
    </x:row>
    <x:row r="1270" ht="18" customHeight="1">
      <x:c r="A1270" s="99" t="str">
        <x:v>S</x:v>
      </x:c>
      <x:c r="B1270" s="99" t="str">
        <x:v>名词</x:v>
      </x:c>
      <x:c r="C1270" s="99" t="n">
        <x:v>37</x:v>
      </x:c>
      <x:c r="D1270" s="99" t="str">
        <x:v>snow</x:v>
      </x:c>
      <x:c r="E1270" s="99" t="str">
        <x:v>/snəʊ/</x:v>
      </x:c>
      <x:c r="F1270" s="99" t="str">
        <x:v>雪</x:v>
      </x:c>
      <x:c r="G1270" s="99" t="str">
        <x:v>37. snow /snəʊ/ 雪</x:v>
      </x:c>
    </x:row>
    <x:row r="1271" ht="18" customHeight="1">
      <x:c r="A1271" s="99" t="str">
        <x:v>S</x:v>
      </x:c>
      <x:c r="B1271" s="99" t="str">
        <x:v>名词</x:v>
      </x:c>
      <x:c r="C1271" s="99" t="n">
        <x:v>38</x:v>
      </x:c>
      <x:c r="D1271" s="99" t="str">
        <x:v>soccer</x:v>
      </x:c>
      <x:c r="E1271" s="99" t="str">
        <x:v>/ˈsɒkə(r)/</x:v>
      </x:c>
      <x:c r="F1271" s="99" t="str">
        <x:v>足球</x:v>
      </x:c>
      <x:c r="G1271" s="99" t="str">
        <x:v>38. soccer /ˈsɒkə(r)/ 足球</x:v>
      </x:c>
    </x:row>
    <x:row r="1272" ht="18" customHeight="1">
      <x:c r="A1272" s="99" t="str">
        <x:v>S</x:v>
      </x:c>
      <x:c r="B1272" s="99" t="str">
        <x:v>名词</x:v>
      </x:c>
      <x:c r="C1272" s="99" t="n">
        <x:v>39</x:v>
      </x:c>
      <x:c r="D1272" s="99" t="str">
        <x:v>social</x:v>
      </x:c>
      <x:c r="E1272" s="99" t="str">
        <x:v>/ˈsəʊʃl/</x:v>
      </x:c>
      <x:c r="F1272" s="99" t="str">
        <x:v>社会的；社交的（兼作形容词）</x:v>
      </x:c>
      <x:c r="G1272" s="99" t="str">
        <x:v>39. social /ˈsəʊʃl/ 社会的；社交的（兼作形容词）</x:v>
      </x:c>
    </x:row>
    <x:row r="1273" ht="18" customHeight="1">
      <x:c r="A1273" s="99" t="str">
        <x:v>S</x:v>
      </x:c>
      <x:c r="B1273" s="99" t="str">
        <x:v>名词</x:v>
      </x:c>
      <x:c r="C1273" s="99" t="n">
        <x:v>40</x:v>
      </x:c>
      <x:c r="D1273" s="99" t="str">
        <x:v>society</x:v>
      </x:c>
      <x:c r="E1273" s="99" t="str">
        <x:v>/səˈsaɪəti/</x:v>
      </x:c>
      <x:c r="F1273" s="99" t="str">
        <x:v>社会</x:v>
      </x:c>
      <x:c r="G1273" s="99" t="str">
        <x:v>40. society /səˈsaɪəti/ 社会</x:v>
      </x:c>
    </x:row>
    <x:row r="1274" ht="18" customHeight="1">
      <x:c r="A1274" s="99" t="str">
        <x:v>S</x:v>
      </x:c>
      <x:c r="B1274" s="99" t="str">
        <x:v>名词</x:v>
      </x:c>
      <x:c r="C1274" s="99" t="n">
        <x:v>41</x:v>
      </x:c>
      <x:c r="D1274" s="99" t="str">
        <x:v>sock</x:v>
      </x:c>
      <x:c r="E1274" s="99" t="str">
        <x:v>/sɒk/</x:v>
      </x:c>
      <x:c r="F1274" s="99" t="str">
        <x:v>短袜</x:v>
      </x:c>
      <x:c r="G1274" s="99" t="str">
        <x:v>41. sock /sɒk/ 短袜</x:v>
      </x:c>
    </x:row>
    <x:row r="1275" ht="18" customHeight="1">
      <x:c r="A1275" s="99" t="str">
        <x:v>S</x:v>
      </x:c>
      <x:c r="B1275" s="99" t="str">
        <x:v>名词</x:v>
      </x:c>
      <x:c r="C1275" s="99" t="n">
        <x:v>42</x:v>
      </x:c>
      <x:c r="D1275" s="99" t="str">
        <x:v>sofa</x:v>
      </x:c>
      <x:c r="E1275" s="99" t="str">
        <x:v>/ˈsəʊfə/</x:v>
      </x:c>
      <x:c r="F1275" s="99" t="str">
        <x:v>沙发</x:v>
      </x:c>
      <x:c r="G1275" s="99" t="str">
        <x:v>42. sofa /ˈsəʊfə/ 沙发</x:v>
      </x:c>
    </x:row>
    <x:row r="1276" ht="18" customHeight="1">
      <x:c r="A1276" s="99" t="str">
        <x:v>S</x:v>
      </x:c>
      <x:c r="B1276" s="99" t="str">
        <x:v>名词</x:v>
      </x:c>
      <x:c r="C1276" s="99" t="n">
        <x:v>43</x:v>
      </x:c>
      <x:c r="D1276" s="99" t="str">
        <x:v>soil</x:v>
      </x:c>
      <x:c r="E1276" s="99" t="str">
        <x:v>/sɔɪl/</x:v>
      </x:c>
      <x:c r="F1276" s="99" t="str">
        <x:v>土壤</x:v>
      </x:c>
      <x:c r="G1276" s="99" t="str">
        <x:v>43. soil /sɔɪl/ 土壤</x:v>
      </x:c>
    </x:row>
    <x:row r="1277" ht="18" customHeight="1">
      <x:c r="A1277" s="99" t="str">
        <x:v>S</x:v>
      </x:c>
      <x:c r="B1277" s="99" t="str">
        <x:v>名词</x:v>
      </x:c>
      <x:c r="C1277" s="99" t="n">
        <x:v>44</x:v>
      </x:c>
      <x:c r="D1277" s="99" t="str">
        <x:v>solar</x:v>
      </x:c>
      <x:c r="E1277" s="99" t="str">
        <x:v>/ˈsəʊlə(r)/</x:v>
      </x:c>
      <x:c r="F1277" s="99" t="str">
        <x:v>太阳的；与太阳有关的（兼作形容词）</x:v>
      </x:c>
      <x:c r="G1277" s="99" t="str">
        <x:v>44. solar /ˈsəʊlə(r)/ 太阳的；与太阳有关的（兼作形容词）</x:v>
      </x:c>
    </x:row>
    <x:row r="1278" ht="18" customHeight="1">
      <x:c r="A1278" s="99" t="str">
        <x:v>S</x:v>
      </x:c>
      <x:c r="B1278" s="99" t="str">
        <x:v>名词</x:v>
      </x:c>
      <x:c r="C1278" s="99" t="n">
        <x:v>45</x:v>
      </x:c>
      <x:c r="D1278" s="99" t="str">
        <x:v>solar</x:v>
      </x:c>
      <x:c r="E1278" s="99" t="str"/>
      <x:c r="F1278" s="99" t="str">
        <x:v>system 太阳系</x:v>
      </x:c>
      <x:c r="G1278" s="99" t="str">
        <x:v>45. solar system 太阳系</x:v>
      </x:c>
    </x:row>
    <x:row r="1279" ht="18" customHeight="1">
      <x:c r="A1279" s="99" t="str">
        <x:v>S</x:v>
      </x:c>
      <x:c r="B1279" s="99" t="str">
        <x:v>名词</x:v>
      </x:c>
      <x:c r="C1279" s="99" t="n">
        <x:v>46</x:v>
      </x:c>
      <x:c r="D1279" s="99" t="str">
        <x:v>soldier</x:v>
      </x:c>
      <x:c r="E1279" s="99" t="str">
        <x:v>/ˈsəʊldʒə(r)/</x:v>
      </x:c>
      <x:c r="F1279" s="99" t="str">
        <x:v>士兵；军人</x:v>
      </x:c>
      <x:c r="G1279" s="99" t="str">
        <x:v>46. soldier /ˈsəʊldʒə(r)/ 士兵；军人</x:v>
      </x:c>
    </x:row>
    <x:row r="1280" ht="18" customHeight="1">
      <x:c r="A1280" s="99" t="str">
        <x:v>S</x:v>
      </x:c>
      <x:c r="B1280" s="99" t="str">
        <x:v>名词</x:v>
      </x:c>
      <x:c r="C1280" s="99" t="n">
        <x:v>47</x:v>
      </x:c>
      <x:c r="D1280" s="99" t="str">
        <x:v>son</x:v>
      </x:c>
      <x:c r="E1280" s="99" t="str">
        <x:v>/sʌn/</x:v>
      </x:c>
      <x:c r="F1280" s="99" t="str">
        <x:v>儿子</x:v>
      </x:c>
      <x:c r="G1280" s="99" t="str">
        <x:v>47. son /sʌn/ 儿子</x:v>
      </x:c>
    </x:row>
    <x:row r="1281" ht="18" customHeight="1">
      <x:c r="A1281" s="99" t="str">
        <x:v>S</x:v>
      </x:c>
      <x:c r="B1281" s="99" t="str">
        <x:v>名词</x:v>
      </x:c>
      <x:c r="C1281" s="99" t="n">
        <x:v>48</x:v>
      </x:c>
      <x:c r="D1281" s="99" t="str">
        <x:v>song</x:v>
      </x:c>
      <x:c r="E1281" s="99" t="str">
        <x:v>/sɒŋ/</x:v>
      </x:c>
      <x:c r="F1281" s="99" t="str">
        <x:v>歌曲</x:v>
      </x:c>
      <x:c r="G1281" s="99" t="str">
        <x:v>48. song /sɒŋ/ 歌曲</x:v>
      </x:c>
    </x:row>
    <x:row r="1282" ht="18" customHeight="1">
      <x:c r="A1282" s="99" t="str">
        <x:v>S</x:v>
      </x:c>
      <x:c r="B1282" s="99" t="str">
        <x:v>名词</x:v>
      </x:c>
      <x:c r="C1282" s="99" t="n">
        <x:v>49</x:v>
      </x:c>
      <x:c r="D1282" s="99" t="str">
        <x:v>sound</x:v>
      </x:c>
      <x:c r="E1282" s="99" t="str">
        <x:v>/saʊnd/</x:v>
      </x:c>
      <x:c r="F1282" s="99" t="str">
        <x:v>声音；声响</x:v>
      </x:c>
      <x:c r="G1282" s="99" t="str">
        <x:v>49. sound /saʊnd/ 声音；声响</x:v>
      </x:c>
    </x:row>
    <x:row r="1283" ht="18" customHeight="1">
      <x:c r="A1283" s="99" t="str">
        <x:v>S</x:v>
      </x:c>
      <x:c r="B1283" s="99" t="str">
        <x:v>名词</x:v>
      </x:c>
      <x:c r="C1283" s="99" t="n">
        <x:v>50</x:v>
      </x:c>
      <x:c r="D1283" s="99" t="str">
        <x:v>soup</x:v>
      </x:c>
      <x:c r="E1283" s="99" t="str">
        <x:v>/suːp/</x:v>
      </x:c>
      <x:c r="F1283" s="99" t="str">
        <x:v>汤</x:v>
      </x:c>
      <x:c r="G1283" s="99" t="str">
        <x:v>50. soup /suːp/ 汤</x:v>
      </x:c>
    </x:row>
    <x:row r="1284" ht="18" customHeight="1">
      <x:c r="A1284" s="99" t="str">
        <x:v>S</x:v>
      </x:c>
      <x:c r="B1284" s="99" t="str">
        <x:v>名词</x:v>
      </x:c>
      <x:c r="C1284" s="99" t="n">
        <x:v>51</x:v>
      </x:c>
      <x:c r="D1284" s="99" t="str">
        <x:v>space</x:v>
      </x:c>
      <x:c r="E1284" s="99" t="str">
        <x:v>/speɪs/</x:v>
      </x:c>
      <x:c r="F1284" s="99" t="str">
        <x:v>太空；空间</x:v>
      </x:c>
      <x:c r="G1284" s="99" t="str">
        <x:v>51. space /speɪs/ 太空；空间</x:v>
      </x:c>
    </x:row>
    <x:row r="1285" ht="18" customHeight="1">
      <x:c r="A1285" s="99" t="str">
        <x:v>S</x:v>
      </x:c>
      <x:c r="B1285" s="99" t="str">
        <x:v>名词</x:v>
      </x:c>
      <x:c r="C1285" s="99" t="n">
        <x:v>52</x:v>
      </x:c>
      <x:c r="D1285" s="99" t="str">
        <x:v>spaceship</x:v>
      </x:c>
      <x:c r="E1285" s="99" t="str">
        <x:v>/ˈspeɪsʃɪp/</x:v>
      </x:c>
      <x:c r="F1285" s="99" t="str">
        <x:v>宇宙飞船</x:v>
      </x:c>
      <x:c r="G1285" s="99" t="str">
        <x:v>52. spaceship /ˈspeɪsʃɪp/ 宇宙飞船</x:v>
      </x:c>
    </x:row>
    <x:row r="1286" ht="18" customHeight="1">
      <x:c r="A1286" s="99" t="str">
        <x:v>S</x:v>
      </x:c>
      <x:c r="B1286" s="99" t="str">
        <x:v>名词</x:v>
      </x:c>
      <x:c r="C1286" s="99" t="n">
        <x:v>53</x:v>
      </x:c>
      <x:c r="D1286" s="99" t="str">
        <x:v>spare</x:v>
      </x:c>
      <x:c r="E1286" s="99" t="str">
        <x:v>/speə(r)/</x:v>
      </x:c>
      <x:c r="F1286" s="99" t="str">
        <x:v>多余的；空闲的（兼作形容词）</x:v>
      </x:c>
      <x:c r="G1286" s="99" t="str">
        <x:v>53. spare /speə(r)/ 多余的；空闲的（兼作形容词）</x:v>
      </x:c>
    </x:row>
    <x:row r="1287" ht="18" customHeight="1">
      <x:c r="A1287" s="99" t="str">
        <x:v>S</x:v>
      </x:c>
      <x:c r="B1287" s="99" t="str">
        <x:v>名词</x:v>
      </x:c>
      <x:c r="C1287" s="99" t="n">
        <x:v>54</x:v>
      </x:c>
      <x:c r="D1287" s="99" t="str">
        <x:v>speak</x:v>
      </x:c>
      <x:c r="E1287" s="99" t="str">
        <x:v>/spiːk/</x:v>
      </x:c>
      <x:c r="F1287" s="99" t="str">
        <x:v>说话；讲话（兼作动词）</x:v>
      </x:c>
      <x:c r="G1287" s="99" t="str">
        <x:v>54. speak /spiːk/ 说话；讲话（兼作动词）</x:v>
      </x:c>
    </x:row>
    <x:row r="1288" ht="18" customHeight="1">
      <x:c r="A1288" s="99" t="str">
        <x:v>S</x:v>
      </x:c>
      <x:c r="B1288" s="99" t="str">
        <x:v>名词</x:v>
      </x:c>
      <x:c r="C1288" s="99" t="n">
        <x:v>55</x:v>
      </x:c>
      <x:c r="D1288" s="99" t="str">
        <x:v>speaker</x:v>
      </x:c>
      <x:c r="E1288" s="99" t="str">
        <x:v>/ˈspiːkə(r)/</x:v>
      </x:c>
      <x:c r="F1288" s="99" t="str">
        <x:v>扬声器；演讲者</x:v>
      </x:c>
      <x:c r="G1288" s="99" t="str">
        <x:v>55. speaker /ˈspiːkə(r)/ 扬声器；演讲者</x:v>
      </x:c>
    </x:row>
    <x:row r="1289" ht="18" customHeight="1">
      <x:c r="A1289" s="99" t="str">
        <x:v>S</x:v>
      </x:c>
      <x:c r="B1289" s="99" t="str">
        <x:v>名词</x:v>
      </x:c>
      <x:c r="C1289" s="99" t="n">
        <x:v>56</x:v>
      </x:c>
      <x:c r="D1289" s="99" t="str">
        <x:v>special</x:v>
      </x:c>
      <x:c r="E1289" s="99" t="str">
        <x:v>/ˈspeʃl/</x:v>
      </x:c>
      <x:c r="F1289" s="99" t="str">
        <x:v>特殊的；特别的（兼作形容词）</x:v>
      </x:c>
      <x:c r="G1289" s="99" t="str">
        <x:v>56. special /ˈspeʃl/ 特殊的；特别的（兼作形容词）</x:v>
      </x:c>
    </x:row>
    <x:row r="1290" ht="18" customHeight="1">
      <x:c r="A1290" s="99" t="str">
        <x:v>S</x:v>
      </x:c>
      <x:c r="B1290" s="99" t="str">
        <x:v>名词</x:v>
      </x:c>
      <x:c r="C1290" s="99" t="n">
        <x:v>57</x:v>
      </x:c>
      <x:c r="D1290" s="99" t="str">
        <x:v>speech</x:v>
      </x:c>
      <x:c r="E1290" s="99" t="str">
        <x:v>/spiːtʃ/</x:v>
      </x:c>
      <x:c r="F1290" s="99" t="str">
        <x:v>演讲</x:v>
      </x:c>
      <x:c r="G1290" s="99" t="str">
        <x:v>57. speech /spiːtʃ/ 演讲</x:v>
      </x:c>
    </x:row>
    <x:row r="1291" ht="18" customHeight="1">
      <x:c r="A1291" s="99" t="str">
        <x:v>S</x:v>
      </x:c>
      <x:c r="B1291" s="99" t="str">
        <x:v>名词</x:v>
      </x:c>
      <x:c r="C1291" s="99" t="n">
        <x:v>58</x:v>
      </x:c>
      <x:c r="D1291" s="99" t="str">
        <x:v>speed</x:v>
      </x:c>
      <x:c r="E1291" s="99" t="str">
        <x:v>/spiːd/</x:v>
      </x:c>
      <x:c r="F1291" s="99" t="str">
        <x:v>速度</x:v>
      </x:c>
      <x:c r="G1291" s="99" t="str">
        <x:v>58. speed /spiːd/ 速度</x:v>
      </x:c>
    </x:row>
    <x:row r="1292" ht="18" customHeight="1">
      <x:c r="A1292" s="99" t="str">
        <x:v>S</x:v>
      </x:c>
      <x:c r="B1292" s="99" t="str">
        <x:v>名词</x:v>
      </x:c>
      <x:c r="C1292" s="99" t="n">
        <x:v>59</x:v>
      </x:c>
      <x:c r="D1292" s="99" t="str">
        <x:v>spell</x:v>
      </x:c>
      <x:c r="E1292" s="99" t="str">
        <x:v>/spel/</x:v>
      </x:c>
      <x:c r="F1292" s="99" t="str">
        <x:v>拼写</x:v>
      </x:c>
      <x:c r="G1292" s="99" t="str">
        <x:v>59. spell /spel/ 拼写</x:v>
      </x:c>
    </x:row>
    <x:row r="1293" ht="18" customHeight="1">
      <x:c r="A1293" s="99" t="str">
        <x:v>S</x:v>
      </x:c>
      <x:c r="B1293" s="99" t="str">
        <x:v>名词</x:v>
      </x:c>
      <x:c r="C1293" s="99" t="n">
        <x:v>60</x:v>
      </x:c>
      <x:c r="D1293" s="99" t="str">
        <x:v>spirit</x:v>
      </x:c>
      <x:c r="E1293" s="99" t="str">
        <x:v>/ˈspɪrɪt/</x:v>
      </x:c>
      <x:c r="F1293" s="99" t="str">
        <x:v>精神；心灵</x:v>
      </x:c>
      <x:c r="G1293" s="99" t="str">
        <x:v>60. spirit /ˈspɪrɪt/ 精神；心灵</x:v>
      </x:c>
    </x:row>
    <x:row r="1294" ht="18" customHeight="1">
      <x:c r="A1294" s="99" t="str">
        <x:v>S</x:v>
      </x:c>
      <x:c r="B1294" s="99" t="str">
        <x:v>名词</x:v>
      </x:c>
      <x:c r="C1294" s="99" t="n">
        <x:v>61</x:v>
      </x:c>
      <x:c r="D1294" s="99" t="str">
        <x:v>sport</x:v>
      </x:c>
      <x:c r="E1294" s="99" t="str">
        <x:v>/spɔːt/</x:v>
      </x:c>
      <x:c r="F1294" s="99" t="str">
        <x:v>运动</x:v>
      </x:c>
      <x:c r="G1294" s="99" t="str">
        <x:v>61. sport /spɔːt/ 运动</x:v>
      </x:c>
    </x:row>
    <x:row r="1295" ht="18" customHeight="1">
      <x:c r="A1295" s="99" t="str">
        <x:v>S</x:v>
      </x:c>
      <x:c r="B1295" s="99" t="str">
        <x:v>名词</x:v>
      </x:c>
      <x:c r="C1295" s="99" t="n">
        <x:v>62</x:v>
      </x:c>
      <x:c r="D1295" s="99" t="str">
        <x:v>spring</x:v>
      </x:c>
      <x:c r="E1295" s="99" t="str">
        <x:v>/sprɪŋ/</x:v>
      </x:c>
      <x:c r="F1295" s="99" t="str">
        <x:v>春天；春季</x:v>
      </x:c>
      <x:c r="G1295" s="99" t="str">
        <x:v>62. spring /sprɪŋ/ 春天；春季</x:v>
      </x:c>
    </x:row>
    <x:row r="1296" ht="18" customHeight="1">
      <x:c r="A1296" s="99" t="str">
        <x:v>S</x:v>
      </x:c>
      <x:c r="B1296" s="99" t="str">
        <x:v>名词</x:v>
      </x:c>
      <x:c r="C1296" s="99" t="n">
        <x:v>63</x:v>
      </x:c>
      <x:c r="D1296" s="99" t="str">
        <x:v>square</x:v>
      </x:c>
      <x:c r="E1296" s="99" t="str">
        <x:v>/skweə(r)/</x:v>
      </x:c>
      <x:c r="F1296" s="99" t="str">
        <x:v>广场；正方形</x:v>
      </x:c>
      <x:c r="G1296" s="99" t="str">
        <x:v>63. square /skweə(r)/ 广场；正方形</x:v>
      </x:c>
    </x:row>
    <x:row r="1297" ht="18" customHeight="1">
      <x:c r="A1297" s="99" t="str">
        <x:v>S</x:v>
      </x:c>
      <x:c r="B1297" s="99" t="str">
        <x:v>名词</x:v>
      </x:c>
      <x:c r="C1297" s="99" t="n">
        <x:v>64</x:v>
      </x:c>
      <x:c r="D1297" s="99" t="str">
        <x:v>stage</x:v>
      </x:c>
      <x:c r="E1297" s="99" t="str">
        <x:v>/steɪdʒ/</x:v>
      </x:c>
      <x:c r="F1297" s="99" t="str">
        <x:v>舞台</x:v>
      </x:c>
      <x:c r="G1297" s="99" t="str">
        <x:v>64. stage /steɪdʒ/ 舞台</x:v>
      </x:c>
    </x:row>
    <x:row r="1298" ht="18" customHeight="1">
      <x:c r="A1298" s="99" t="str">
        <x:v>S</x:v>
      </x:c>
      <x:c r="B1298" s="99" t="str">
        <x:v>名词</x:v>
      </x:c>
      <x:c r="C1298" s="99" t="n">
        <x:v>65</x:v>
      </x:c>
      <x:c r="D1298" s="99" t="str">
        <x:v>stamp</x:v>
      </x:c>
      <x:c r="E1298" s="99" t="str">
        <x:v>/stæmp/</x:v>
      </x:c>
      <x:c r="F1298" s="99" t="str">
        <x:v>邮票</x:v>
      </x:c>
      <x:c r="G1298" s="99" t="str">
        <x:v>65. stamp /stæmp/ 邮票</x:v>
      </x:c>
    </x:row>
    <x:row r="1299" ht="18" customHeight="1">
      <x:c r="A1299" s="99" t="str">
        <x:v>S</x:v>
      </x:c>
      <x:c r="B1299" s="99" t="str">
        <x:v>名词</x:v>
      </x:c>
      <x:c r="C1299" s="99" t="n">
        <x:v>66</x:v>
      </x:c>
      <x:c r="D1299" s="99" t="str">
        <x:v>star</x:v>
      </x:c>
      <x:c r="E1299" s="99" t="str">
        <x:v>/stɑː(r)/</x:v>
      </x:c>
      <x:c r="F1299" s="99" t="str">
        <x:v>星星；明星</x:v>
      </x:c>
      <x:c r="G1299" s="99" t="str">
        <x:v>66. star /stɑː(r)/ 星星；明星</x:v>
      </x:c>
    </x:row>
    <x:row r="1300" ht="18" customHeight="1">
      <x:c r="A1300" s="99" t="str">
        <x:v>S</x:v>
      </x:c>
      <x:c r="B1300" s="99" t="str">
        <x:v>名词</x:v>
      </x:c>
      <x:c r="C1300" s="99" t="n">
        <x:v>67</x:v>
      </x:c>
      <x:c r="D1300" s="99" t="str">
        <x:v>start</x:v>
      </x:c>
      <x:c r="E1300" s="99" t="str">
        <x:v>/stɑːt/</x:v>
      </x:c>
      <x:c r="F1300" s="99" t="str">
        <x:v>开始；开端（兼作动词）</x:v>
      </x:c>
      <x:c r="G1300" s="99" t="str">
        <x:v>67. start /stɑːt/ 开始；开端（兼作动词）</x:v>
      </x:c>
    </x:row>
    <x:row r="1301" ht="18" customHeight="1">
      <x:c r="A1301" s="99" t="str">
        <x:v>S</x:v>
      </x:c>
      <x:c r="B1301" s="99" t="str">
        <x:v>名词</x:v>
      </x:c>
      <x:c r="C1301" s="99" t="n">
        <x:v>68</x:v>
      </x:c>
      <x:c r="D1301" s="99" t="str">
        <x:v>station</x:v>
      </x:c>
      <x:c r="E1301" s="99" t="str">
        <x:v>/ˈsteɪʃn/</x:v>
      </x:c>
      <x:c r="F1301" s="99" t="str">
        <x:v>车站</x:v>
      </x:c>
      <x:c r="G1301" s="99" t="str">
        <x:v>68. station /ˈsteɪʃn/ 车站</x:v>
      </x:c>
    </x:row>
    <x:row r="1302" ht="18" customHeight="1">
      <x:c r="A1302" s="99" t="str">
        <x:v>S</x:v>
      </x:c>
      <x:c r="B1302" s="99" t="str">
        <x:v>名词</x:v>
      </x:c>
      <x:c r="C1302" s="99" t="n">
        <x:v>69</x:v>
      </x:c>
      <x:c r="D1302" s="99" t="str">
        <x:v>steak</x:v>
      </x:c>
      <x:c r="E1302" s="99" t="str">
        <x:v>/steɪk/</x:v>
      </x:c>
      <x:c r="F1302" s="99" t="str">
        <x:v>牛排</x:v>
      </x:c>
      <x:c r="G1302" s="99" t="str">
        <x:v>69. steak /steɪk/ 牛排</x:v>
      </x:c>
    </x:row>
    <x:row r="1303" ht="18" customHeight="1">
      <x:c r="A1303" s="99" t="str">
        <x:v>S</x:v>
      </x:c>
      <x:c r="B1303" s="99" t="str">
        <x:v>名词</x:v>
      </x:c>
      <x:c r="C1303" s="99" t="n">
        <x:v>70</x:v>
      </x:c>
      <x:c r="D1303" s="99" t="str">
        <x:v>step</x:v>
      </x:c>
      <x:c r="E1303" s="99" t="str">
        <x:v>/step/</x:v>
      </x:c>
      <x:c r="F1303" s="99" t="str">
        <x:v>脚步；步骤</x:v>
      </x:c>
      <x:c r="G1303" s="99" t="str">
        <x:v>70. step /step/ 脚步；步骤</x:v>
      </x:c>
    </x:row>
    <x:row r="1304" ht="18" customHeight="1">
      <x:c r="A1304" s="99" t="str">
        <x:v>S</x:v>
      </x:c>
      <x:c r="B1304" s="99" t="str">
        <x:v>名词</x:v>
      </x:c>
      <x:c r="C1304" s="99" t="n">
        <x:v>71</x:v>
      </x:c>
      <x:c r="D1304" s="99" t="str">
        <x:v>stick</x:v>
      </x:c>
      <x:c r="E1304" s="99" t="str">
        <x:v>/stɪk/</x:v>
      </x:c>
      <x:c r="F1304" s="99" t="str">
        <x:v>棍；棒；枝条（兼作动词）</x:v>
      </x:c>
      <x:c r="G1304" s="99" t="str">
        <x:v>71. stick /stɪk/ 棍；棒；枝条（兼作动词）</x:v>
      </x:c>
    </x:row>
    <x:row r="1305" ht="18" customHeight="1">
      <x:c r="A1305" s="99" t="str">
        <x:v>S</x:v>
      </x:c>
      <x:c r="B1305" s="99" t="str">
        <x:v>名词</x:v>
      </x:c>
      <x:c r="C1305" s="99" t="n">
        <x:v>72</x:v>
      </x:c>
      <x:c r="D1305" s="99" t="str">
        <x:v>stomach</x:v>
      </x:c>
      <x:c r="E1305" s="99" t="str">
        <x:v>/ˈstʌmək/</x:v>
      </x:c>
      <x:c r="F1305" s="99" t="str">
        <x:v>腹部；肚子</x:v>
      </x:c>
      <x:c r="G1305" s="99" t="str">
        <x:v>72. stomach /ˈstʌmək/ 腹部；肚子</x:v>
      </x:c>
    </x:row>
    <x:row r="1306" ht="18" customHeight="1">
      <x:c r="A1306" s="99" t="str">
        <x:v>S</x:v>
      </x:c>
      <x:c r="B1306" s="99" t="str">
        <x:v>名词</x:v>
      </x:c>
      <x:c r="C1306" s="99" t="n">
        <x:v>73</x:v>
      </x:c>
      <x:c r="D1306" s="99" t="str">
        <x:v>stone</x:v>
      </x:c>
      <x:c r="E1306" s="99" t="str">
        <x:v>/stəʊn/</x:v>
      </x:c>
      <x:c r="F1306" s="99" t="str">
        <x:v>石头</x:v>
      </x:c>
      <x:c r="G1306" s="99" t="str">
        <x:v>73. stone /stəʊn/ 石头</x:v>
      </x:c>
    </x:row>
    <x:row r="1307" ht="18" customHeight="1">
      <x:c r="A1307" s="99" t="str">
        <x:v>S</x:v>
      </x:c>
      <x:c r="B1307" s="99" t="str">
        <x:v>名词</x:v>
      </x:c>
      <x:c r="C1307" s="99" t="n">
        <x:v>74</x:v>
      </x:c>
      <x:c r="D1307" s="99" t="str">
        <x:v>stop</x:v>
      </x:c>
      <x:c r="E1307" s="99" t="str">
        <x:v>/stɒp/</x:v>
      </x:c>
      <x:c r="F1307" s="99" t="str">
        <x:v>车站；停止（兼作动词）</x:v>
      </x:c>
      <x:c r="G1307" s="99" t="str">
        <x:v>74. stop /stɒp/ 车站；停止（兼作动词）</x:v>
      </x:c>
    </x:row>
    <x:row r="1308" ht="18" customHeight="1">
      <x:c r="A1308" s="99" t="str">
        <x:v>S</x:v>
      </x:c>
      <x:c r="B1308" s="99" t="str">
        <x:v>名词</x:v>
      </x:c>
      <x:c r="C1308" s="99" t="n">
        <x:v>75</x:v>
      </x:c>
      <x:c r="D1308" s="99" t="str">
        <x:v>store</x:v>
      </x:c>
      <x:c r="E1308" s="99" t="str">
        <x:v>/stɔː(r)/</x:v>
      </x:c>
      <x:c r="F1308" s="99" t="str">
        <x:v>商店；店铺</x:v>
      </x:c>
      <x:c r="G1308" s="99" t="str">
        <x:v>75. store /stɔː(r)/ 商店；店铺</x:v>
      </x:c>
    </x:row>
    <x:row r="1309" ht="18" customHeight="1">
      <x:c r="A1309" s="99" t="str">
        <x:v>S</x:v>
      </x:c>
      <x:c r="B1309" s="99" t="str">
        <x:v>名词</x:v>
      </x:c>
      <x:c r="C1309" s="99" t="n">
        <x:v>76</x:v>
      </x:c>
      <x:c r="D1309" s="99" t="str">
        <x:v>story</x:v>
      </x:c>
      <x:c r="E1309" s="99" t="str">
        <x:v>/ˈstɔːri/</x:v>
      </x:c>
      <x:c r="F1309" s="99" t="str">
        <x:v>故事</x:v>
      </x:c>
      <x:c r="G1309" s="99" t="str">
        <x:v>76. story /ˈstɔːri/ 故事</x:v>
      </x:c>
    </x:row>
    <x:row r="1310" ht="18" customHeight="1">
      <x:c r="A1310" s="99" t="str">
        <x:v>S</x:v>
      </x:c>
      <x:c r="B1310" s="99" t="str">
        <x:v>名词</x:v>
      </x:c>
      <x:c r="C1310" s="99" t="n">
        <x:v>77</x:v>
      </x:c>
      <x:c r="D1310" s="99" t="str">
        <x:v>straight</x:v>
      </x:c>
      <x:c r="E1310" s="99" t="str">
        <x:v>/streɪt/</x:v>
      </x:c>
      <x:c r="F1310" s="99" t="str">
        <x:v>直的；笔直的（兼作形容词/副词）</x:v>
      </x:c>
      <x:c r="G1310" s="99" t="str">
        <x:v>77. straight /streɪt/ 直的；笔直的（兼作形容词/副词）</x:v>
      </x:c>
    </x:row>
    <x:row r="1311" ht="18" customHeight="1">
      <x:c r="A1311" s="99" t="str">
        <x:v>S</x:v>
      </x:c>
      <x:c r="B1311" s="99" t="str">
        <x:v>名词</x:v>
      </x:c>
      <x:c r="C1311" s="99" t="n">
        <x:v>78</x:v>
      </x:c>
      <x:c r="D1311" s="99" t="str">
        <x:v>strange</x:v>
      </x:c>
      <x:c r="E1311" s="99" t="str">
        <x:v>/streɪndʒ/</x:v>
      </x:c>
      <x:c r="F1311" s="99" t="str">
        <x:v>奇怪的；陌生的（兼作形容词）</x:v>
      </x:c>
      <x:c r="G1311" s="99" t="str">
        <x:v>78. strange /streɪndʒ/ 奇怪的；陌生的（兼作形容词）</x:v>
      </x:c>
    </x:row>
    <x:row r="1312" ht="18" customHeight="1">
      <x:c r="A1312" s="99" t="str">
        <x:v>S</x:v>
      </x:c>
      <x:c r="B1312" s="99" t="str">
        <x:v>名词</x:v>
      </x:c>
      <x:c r="C1312" s="99" t="n">
        <x:v>79</x:v>
      </x:c>
      <x:c r="D1312" s="99" t="str">
        <x:v>stranger</x:v>
      </x:c>
      <x:c r="E1312" s="99" t="str">
        <x:v>/ˈstreɪndʒə(r)/</x:v>
      </x:c>
      <x:c r="F1312" s="99" t="str">
        <x:v>陌生人</x:v>
      </x:c>
      <x:c r="G1312" s="99" t="str">
        <x:v>79. stranger /ˈstreɪndʒə(r)/ 陌生人</x:v>
      </x:c>
    </x:row>
    <x:row r="1313" ht="18" customHeight="1">
      <x:c r="A1313" s="99" t="str">
        <x:v>S</x:v>
      </x:c>
      <x:c r="B1313" s="99" t="str">
        <x:v>名词</x:v>
      </x:c>
      <x:c r="C1313" s="99" t="n">
        <x:v>80</x:v>
      </x:c>
      <x:c r="D1313" s="99" t="str">
        <x:v>strawberry</x:v>
      </x:c>
      <x:c r="E1313" s="99" t="str">
        <x:v>/ˈstrɔːbəri/</x:v>
      </x:c>
      <x:c r="F1313" s="99" t="str">
        <x:v>草莓</x:v>
      </x:c>
      <x:c r="G1313" s="99" t="str">
        <x:v>80. strawberry /ˈstrɔːbəri/ 草莓</x:v>
      </x:c>
    </x:row>
    <x:row r="1314" ht="18" customHeight="1">
      <x:c r="A1314" s="99" t="str">
        <x:v>S</x:v>
      </x:c>
      <x:c r="B1314" s="99" t="str">
        <x:v>名词</x:v>
      </x:c>
      <x:c r="C1314" s="99" t="n">
        <x:v>81</x:v>
      </x:c>
      <x:c r="D1314" s="99" t="str">
        <x:v>street</x:v>
      </x:c>
      <x:c r="E1314" s="99" t="str">
        <x:v>/striːt/</x:v>
      </x:c>
      <x:c r="F1314" s="99" t="str">
        <x:v>街道</x:v>
      </x:c>
      <x:c r="G1314" s="99" t="str">
        <x:v>81. street /striːt/ 街道</x:v>
      </x:c>
    </x:row>
    <x:row r="1315" ht="18" customHeight="1">
      <x:c r="A1315" s="99" t="str">
        <x:v>S</x:v>
      </x:c>
      <x:c r="B1315" s="99" t="str">
        <x:v>名词</x:v>
      </x:c>
      <x:c r="C1315" s="99" t="n">
        <x:v>82</x:v>
      </x:c>
      <x:c r="D1315" s="99" t="str">
        <x:v>stress</x:v>
      </x:c>
      <x:c r="E1315" s="99" t="str">
        <x:v>/stres/</x:v>
      </x:c>
      <x:c r="F1315" s="99" t="str">
        <x:v>压力；紧张</x:v>
      </x:c>
      <x:c r="G1315" s="99" t="str">
        <x:v>82. stress /stres/ 压力；紧张</x:v>
      </x:c>
    </x:row>
    <x:row r="1316" ht="18" customHeight="1">
      <x:c r="A1316" s="99" t="str">
        <x:v>S</x:v>
      </x:c>
      <x:c r="B1316" s="99" t="str">
        <x:v>名词</x:v>
      </x:c>
      <x:c r="C1316" s="99" t="n">
        <x:v>83</x:v>
      </x:c>
      <x:c r="D1316" s="99" t="str">
        <x:v>student</x:v>
      </x:c>
      <x:c r="E1316" s="99" t="str">
        <x:v>/ˈstjuːdnt/</x:v>
      </x:c>
      <x:c r="F1316" s="99" t="str">
        <x:v>学生</x:v>
      </x:c>
      <x:c r="G1316" s="99" t="str">
        <x:v>83. student /ˈstjuːdnt/ 学生</x:v>
      </x:c>
    </x:row>
    <x:row r="1317" ht="18" customHeight="1">
      <x:c r="A1317" s="99" t="str">
        <x:v>S</x:v>
      </x:c>
      <x:c r="B1317" s="99" t="str">
        <x:v>名词</x:v>
      </x:c>
      <x:c r="C1317" s="99" t="n">
        <x:v>84</x:v>
      </x:c>
      <x:c r="D1317" s="99" t="str">
        <x:v>study</x:v>
      </x:c>
      <x:c r="E1317" s="99" t="str">
        <x:v>/ˈstʌdi/</x:v>
      </x:c>
      <x:c r="F1317" s="99" t="str">
        <x:v>学习；书房（兼作动词）</x:v>
      </x:c>
      <x:c r="G1317" s="99" t="str">
        <x:v>84. study /ˈstʌdi/ 学习；书房（兼作动词）</x:v>
      </x:c>
    </x:row>
    <x:row r="1318" ht="18" customHeight="1">
      <x:c r="A1318" s="99" t="str">
        <x:v>S</x:v>
      </x:c>
      <x:c r="B1318" s="99" t="str">
        <x:v>名词</x:v>
      </x:c>
      <x:c r="C1318" s="99" t="n">
        <x:v>85</x:v>
      </x:c>
      <x:c r="D1318" s="99" t="str">
        <x:v>subject</x:v>
      </x:c>
      <x:c r="E1318" s="99" t="str">
        <x:v>/ˈsʌbdʒɪkt/</x:v>
      </x:c>
      <x:c r="F1318" s="99" t="str">
        <x:v>科目；主题</x:v>
      </x:c>
      <x:c r="G1318" s="99" t="str">
        <x:v>85. subject /ˈsʌbdʒɪkt/ 科目；主题</x:v>
      </x:c>
    </x:row>
    <x:row r="1319" ht="18" customHeight="1">
      <x:c r="A1319" s="99" t="str">
        <x:v>S</x:v>
      </x:c>
      <x:c r="B1319" s="99" t="str">
        <x:v>名词</x:v>
      </x:c>
      <x:c r="C1319" s="99" t="n">
        <x:v>86</x:v>
      </x:c>
      <x:c r="D1319" s="99" t="str">
        <x:v>sugar</x:v>
      </x:c>
      <x:c r="E1319" s="99" t="str">
        <x:v>/ˈʃʊɡə(r)/</x:v>
      </x:c>
      <x:c r="F1319" s="99" t="str">
        <x:v>糖</x:v>
      </x:c>
      <x:c r="G1319" s="99" t="str">
        <x:v>86. sugar /ˈʃʊɡə(r)/ 糖</x:v>
      </x:c>
    </x:row>
    <x:row r="1320" ht="18" customHeight="1">
      <x:c r="A1320" s="99" t="str">
        <x:v>S</x:v>
      </x:c>
      <x:c r="B1320" s="99" t="str">
        <x:v>名词</x:v>
      </x:c>
      <x:c r="C1320" s="99" t="n">
        <x:v>87</x:v>
      </x:c>
      <x:c r="D1320" s="99" t="str">
        <x:v>suggestion</x:v>
      </x:c>
      <x:c r="E1320" s="99" t="str">
        <x:v>/səˈdʒestʃən/</x:v>
      </x:c>
      <x:c r="F1320" s="99" t="str">
        <x:v>建议</x:v>
      </x:c>
      <x:c r="G1320" s="99" t="str">
        <x:v>87. suggestion /səˈdʒestʃən/ 建议</x:v>
      </x:c>
    </x:row>
    <x:row r="1321" ht="18" customHeight="1">
      <x:c r="A1321" s="99" t="str">
        <x:v>S</x:v>
      </x:c>
      <x:c r="B1321" s="99" t="str">
        <x:v>名词</x:v>
      </x:c>
      <x:c r="C1321" s="99" t="n">
        <x:v>88</x:v>
      </x:c>
      <x:c r="D1321" s="99" t="str">
        <x:v>suit</x:v>
      </x:c>
      <x:c r="E1321" s="99" t="str">
        <x:v>/suːt/</x:v>
      </x:c>
      <x:c r="F1321" s="99" t="str">
        <x:v>套装；西装</x:v>
      </x:c>
      <x:c r="G1321" s="99" t="str">
        <x:v>88. suit /suːt/ 套装；西装</x:v>
      </x:c>
    </x:row>
    <x:row r="1322" ht="18" customHeight="1">
      <x:c r="A1322" s="99" t="str">
        <x:v>S</x:v>
      </x:c>
      <x:c r="B1322" s="99" t="str">
        <x:v>名词</x:v>
      </x:c>
      <x:c r="C1322" s="99" t="n">
        <x:v>89</x:v>
      </x:c>
      <x:c r="D1322" s="99" t="str">
        <x:v>summer</x:v>
      </x:c>
      <x:c r="E1322" s="99" t="str">
        <x:v>/ˈsʌmə(r)/</x:v>
      </x:c>
      <x:c r="F1322" s="99" t="str">
        <x:v>夏天</x:v>
      </x:c>
      <x:c r="G1322" s="99" t="str">
        <x:v>89. summer /ˈsʌmə(r)/ 夏天</x:v>
      </x:c>
    </x:row>
    <x:row r="1323" ht="18" customHeight="1">
      <x:c r="A1323" s="99" t="str">
        <x:v>S</x:v>
      </x:c>
      <x:c r="B1323" s="99" t="str">
        <x:v>名词</x:v>
      </x:c>
      <x:c r="C1323" s="99" t="n">
        <x:v>90</x:v>
      </x:c>
      <x:c r="D1323" s="99" t="str">
        <x:v>sun</x:v>
      </x:c>
      <x:c r="E1323" s="99" t="str">
        <x:v>/sʌn/</x:v>
      </x:c>
      <x:c r="F1323" s="99" t="str">
        <x:v>太阳</x:v>
      </x:c>
      <x:c r="G1323" s="99" t="str">
        <x:v>90. sun /sʌn/ 太阳</x:v>
      </x:c>
    </x:row>
    <x:row r="1324" ht="18" customHeight="1">
      <x:c r="A1324" s="99" t="str">
        <x:v>S</x:v>
      </x:c>
      <x:c r="B1324" s="99" t="str">
        <x:v>名词</x:v>
      </x:c>
      <x:c r="C1324" s="99" t="n">
        <x:v>91</x:v>
      </x:c>
      <x:c r="D1324" s="99" t="str">
        <x:v>Sunday</x:v>
      </x:c>
      <x:c r="E1324" s="99" t="str">
        <x:v>/ˈsʌndeɪ/</x:v>
      </x:c>
      <x:c r="F1324" s="99" t="str">
        <x:v>星期天</x:v>
      </x:c>
      <x:c r="G1324" s="99" t="str">
        <x:v>91. Sunday /ˈsʌndeɪ/ 星期天</x:v>
      </x:c>
    </x:row>
    <x:row r="1325" ht="18" customHeight="1">
      <x:c r="A1325" s="99" t="str">
        <x:v>S</x:v>
      </x:c>
      <x:c r="B1325" s="99" t="str">
        <x:v>名词</x:v>
      </x:c>
      <x:c r="C1325" s="99" t="n">
        <x:v>92</x:v>
      </x:c>
      <x:c r="D1325" s="99" t="str">
        <x:v>sunflower</x:v>
      </x:c>
      <x:c r="E1325" s="99" t="str">
        <x:v>/ˈsʌnflaʊə(r)/</x:v>
      </x:c>
      <x:c r="F1325" s="99" t="str">
        <x:v>向日葵</x:v>
      </x:c>
      <x:c r="G1325" s="99" t="str">
        <x:v>92. sunflower /ˈsʌnflaʊə(r)/ 向日葵</x:v>
      </x:c>
    </x:row>
    <x:row r="1326" ht="18" customHeight="1">
      <x:c r="A1326" s="99" t="str">
        <x:v>S</x:v>
      </x:c>
      <x:c r="B1326" s="99" t="str">
        <x:v>名词</x:v>
      </x:c>
      <x:c r="C1326" s="99" t="n">
        <x:v>93</x:v>
      </x:c>
      <x:c r="D1326" s="99" t="str">
        <x:v>supermarket</x:v>
      </x:c>
      <x:c r="E1326" s="99" t="str">
        <x:v>/ˈsuːpəmɑːkɪt/</x:v>
      </x:c>
      <x:c r="F1326" s="99" t="str">
        <x:v>超市</x:v>
      </x:c>
      <x:c r="G1326" s="99" t="str">
        <x:v>93. supermarket /ˈsuːpəmɑːkɪt/ 超市</x:v>
      </x:c>
    </x:row>
    <x:row r="1327" ht="18" customHeight="1">
      <x:c r="A1327" s="99" t="str">
        <x:v>S</x:v>
      </x:c>
      <x:c r="B1327" s="99" t="str">
        <x:v>名词</x:v>
      </x:c>
      <x:c r="C1327" s="99" t="n">
        <x:v>94</x:v>
      </x:c>
      <x:c r="D1327" s="99" t="str">
        <x:v>support</x:v>
      </x:c>
      <x:c r="E1327" s="99" t="str">
        <x:v>/səˈpɔːt/</x:v>
      </x:c>
      <x:c r="F1327" s="99" t="str">
        <x:v>支持；拥护（兼作动词）</x:v>
      </x:c>
      <x:c r="G1327" s="99" t="str">
        <x:v>94. support /səˈpɔːt/ 支持；拥护（兼作动词）</x:v>
      </x:c>
    </x:row>
    <x:row r="1328" ht="18" customHeight="1">
      <x:c r="A1328" s="99" t="str">
        <x:v>S</x:v>
      </x:c>
      <x:c r="B1328" s="99" t="str">
        <x:v>名词</x:v>
      </x:c>
      <x:c r="C1328" s="99" t="n">
        <x:v>95</x:v>
      </x:c>
      <x:c r="D1328" s="99" t="str">
        <x:v>surprise</x:v>
      </x:c>
      <x:c r="E1328" s="99" t="str">
        <x:v>/səˈpraɪz/</x:v>
      </x:c>
      <x:c r="F1328" s="99" t="str">
        <x:v>惊奇；意外之事（兼作动词）</x:v>
      </x:c>
      <x:c r="G1328" s="99" t="str">
        <x:v>95. surprise /səˈpraɪz/ 惊奇；意外之事（兼作动词）</x:v>
      </x:c>
    </x:row>
    <x:row r="1329" ht="18" customHeight="1">
      <x:c r="A1329" s="99" t="str">
        <x:v>S</x:v>
      </x:c>
      <x:c r="B1329" s="99" t="str">
        <x:v>名词</x:v>
      </x:c>
      <x:c r="C1329" s="99" t="n">
        <x:v>96</x:v>
      </x:c>
      <x:c r="D1329" s="99" t="str">
        <x:v>sweater</x:v>
      </x:c>
      <x:c r="E1329" s="99" t="str">
        <x:v>/ˈswetə(r)/</x:v>
      </x:c>
      <x:c r="F1329" s="99" t="str">
        <x:v>毛衣</x:v>
      </x:c>
      <x:c r="G1329" s="99" t="str">
        <x:v>96. sweater /ˈswetə(r)/ 毛衣</x:v>
      </x:c>
    </x:row>
    <x:row r="1330" ht="18" customHeight="1">
      <x:c r="A1330" s="99" t="str">
        <x:v>S</x:v>
      </x:c>
      <x:c r="B1330" s="99" t="str">
        <x:v>名词</x:v>
      </x:c>
      <x:c r="C1330" s="99" t="n">
        <x:v>97</x:v>
      </x:c>
      <x:c r="D1330" s="99" t="str">
        <x:v>swim</x:v>
      </x:c>
      <x:c r="E1330" s="99" t="str">
        <x:v>/swɪm/</x:v>
      </x:c>
      <x:c r="F1330" s="99" t="str">
        <x:v>游泳（兼作动词）</x:v>
      </x:c>
      <x:c r="G1330" s="99" t="str">
        <x:v>97. swim /swɪm/ 游泳（兼作动词）</x:v>
      </x:c>
    </x:row>
    <x:row r="1331" ht="18" customHeight="1">
      <x:c r="A1331" s="99" t="str">
        <x:v>S</x:v>
      </x:c>
      <x:c r="B1331" s="99" t="str">
        <x:v>名词</x:v>
      </x:c>
      <x:c r="C1331" s="99" t="n">
        <x:v>98</x:v>
      </x:c>
      <x:c r="D1331" s="99" t="str">
        <x:v>swimming</x:v>
      </x:c>
      <x:c r="E1331" s="99" t="str">
        <x:v>/ˈswɪmɪŋ/</x:v>
      </x:c>
      <x:c r="F1331" s="99" t="str">
        <x:v>游泳</x:v>
      </x:c>
      <x:c r="G1331" s="99" t="str">
        <x:v>98. swimming /ˈswɪmɪŋ/ 游泳</x:v>
      </x:c>
    </x:row>
    <x:row r="1332" ht="18" customHeight="1">
      <x:c r="A1332" s="99" t="str">
        <x:v>S</x:v>
      </x:c>
      <x:c r="B1332" s="99" t="str">
        <x:v>名词</x:v>
      </x:c>
      <x:c r="C1332" s="99" t="n">
        <x:v>99</x:v>
      </x:c>
      <x:c r="D1332" s="99" t="str">
        <x:v>swing</x:v>
      </x:c>
      <x:c r="E1332" s="99" t="str">
        <x:v>/swɪŋ/</x:v>
      </x:c>
      <x:c r="F1332" s="99" t="str">
        <x:v>秋千；摇摆（兼作动词）</x:v>
      </x:c>
      <x:c r="G1332" s="99" t="str">
        <x:v>99. swing /swɪŋ/ 秋千；摇摆（兼作动词）</x:v>
      </x:c>
    </x:row>
    <x:row r="1333" ht="18" customHeight="1">
      <x:c r="A1333" s="99" t="str">
        <x:v>S</x:v>
      </x:c>
      <x:c r="B1333" s="99" t="str">
        <x:v>名词</x:v>
      </x:c>
      <x:c r="C1333" s="99" t="n">
        <x:v>100</x:v>
      </x:c>
      <x:c r="D1333" s="99" t="str">
        <x:v>symbol</x:v>
      </x:c>
      <x:c r="E1333" s="99" t="str">
        <x:v>/ˈsɪmbl/</x:v>
      </x:c>
      <x:c r="F1333" s="99" t="str">
        <x:v>象征；标志</x:v>
      </x:c>
      <x:c r="G1333" s="99" t="str">
        <x:v>100. symbol /ˈsɪmbl/ 象征；标志</x:v>
      </x:c>
    </x:row>
    <x:row r="1334" ht="18" customHeight="1">
      <x:c r="A1334" s="99" t="str">
        <x:v>S</x:v>
      </x:c>
      <x:c r="B1334" s="99" t="str">
        <x:v>名词</x:v>
      </x:c>
      <x:c r="C1334" s="99" t="n">
        <x:v>101</x:v>
      </x:c>
      <x:c r="D1334" s="99" t="str">
        <x:v>system</x:v>
      </x:c>
      <x:c r="E1334" s="99" t="str">
        <x:v>/ˈsɪstəm/</x:v>
      </x:c>
      <x:c r="F1334" s="99" t="str">
        <x:v>系统；体系</x:v>
      </x:c>
      <x:c r="G1334" s="99" t="str">
        <x:v>101. system /ˈsɪstəm/ 系统；体系</x:v>
      </x:c>
    </x:row>
    <x:row r="1335" ht="18" customHeight="1">
      <x:c r="A1335" s="99" t="str">
        <x:v>S</x:v>
      </x:c>
      <x:c r="B1335" s="99" t="str">
        <x:v>动词</x:v>
      </x:c>
      <x:c r="C1335" s="99" t="n">
        <x:v>1</x:v>
      </x:c>
      <x:c r="D1335" s="99" t="str">
        <x:v>sail</x:v>
      </x:c>
      <x:c r="E1335" s="99" t="str">
        <x:v>/seɪl/</x:v>
      </x:c>
      <x:c r="F1335" s="99" t="str">
        <x:v>航行；航海</x:v>
      </x:c>
      <x:c r="G1335" s="99" t="str">
        <x:v>1. sail /seɪl/ 航行；航海</x:v>
      </x:c>
    </x:row>
    <x:row r="1336" ht="18" customHeight="1">
      <x:c r="A1336" s="99" t="str">
        <x:v>S</x:v>
      </x:c>
      <x:c r="B1336" s="99" t="str">
        <x:v>动词</x:v>
      </x:c>
      <x:c r="C1336" s="99" t="n">
        <x:v>2</x:v>
      </x:c>
      <x:c r="D1336" s="99" t="str">
        <x:v>sale</x:v>
      </x:c>
      <x:c r="E1336" s="99" t="str">
        <x:v>/seɪl/</x:v>
      </x:c>
      <x:c r="F1336" s="99" t="str">
        <x:v>卖；出售</x:v>
      </x:c>
      <x:c r="G1336" s="99" t="str">
        <x:v>2. sale /seɪl/ 卖；出售</x:v>
      </x:c>
    </x:row>
    <x:row r="1337" ht="18" customHeight="1">
      <x:c r="A1337" s="99" t="str">
        <x:v>S</x:v>
      </x:c>
      <x:c r="B1337" s="99" t="str">
        <x:v>动词</x:v>
      </x:c>
      <x:c r="C1337" s="99" t="n">
        <x:v>3</x:v>
      </x:c>
      <x:c r="D1337" s="99" t="str">
        <x:v>save</x:v>
      </x:c>
      <x:c r="E1337" s="99" t="str">
        <x:v>/seɪv/</x:v>
      </x:c>
      <x:c r="F1337" s="99" t="str">
        <x:v>保存；储存；挽救</x:v>
      </x:c>
      <x:c r="G1337" s="99" t="str">
        <x:v>3. save /seɪv/ 保存；储存；挽救</x:v>
      </x:c>
    </x:row>
    <x:row r="1338" ht="18" customHeight="1">
      <x:c r="A1338" s="99" t="str">
        <x:v>S</x:v>
      </x:c>
      <x:c r="B1338" s="99" t="str">
        <x:v>动词</x:v>
      </x:c>
      <x:c r="C1338" s="99" t="n">
        <x:v>4</x:v>
      </x:c>
      <x:c r="D1338" s="99" t="str">
        <x:v>say</x:v>
      </x:c>
      <x:c r="E1338" s="99" t="str">
        <x:v>/seɪ/</x:v>
      </x:c>
      <x:c r="F1338" s="99" t="str">
        <x:v>说；讲</x:v>
      </x:c>
      <x:c r="G1338" s="99" t="str">
        <x:v>4. say /seɪ/ 说；讲</x:v>
      </x:c>
    </x:row>
    <x:row r="1339" ht="18" customHeight="1">
      <x:c r="A1339" s="99" t="str">
        <x:v>S</x:v>
      </x:c>
      <x:c r="B1339" s="99" t="str">
        <x:v>动词</x:v>
      </x:c>
      <x:c r="C1339" s="99" t="n">
        <x:v>5</x:v>
      </x:c>
      <x:c r="D1339" s="99" t="str">
        <x:v>see</x:v>
      </x:c>
      <x:c r="E1339" s="99" t="str">
        <x:v>/siː/</x:v>
      </x:c>
      <x:c r="F1339" s="99" t="str">
        <x:v>看见</x:v>
      </x:c>
      <x:c r="G1339" s="99" t="str">
        <x:v>5. see /siː/ 看见</x:v>
      </x:c>
    </x:row>
    <x:row r="1340" ht="18" customHeight="1">
      <x:c r="A1340" s="99" t="str">
        <x:v>S</x:v>
      </x:c>
      <x:c r="B1340" s="99" t="str">
        <x:v>动词</x:v>
      </x:c>
      <x:c r="C1340" s="99" t="n">
        <x:v>6</x:v>
      </x:c>
      <x:c r="D1340" s="99" t="str">
        <x:v>sell</x:v>
      </x:c>
      <x:c r="E1340" s="99" t="str">
        <x:v>/sel/</x:v>
      </x:c>
      <x:c r="F1340" s="99" t="str">
        <x:v>卖；出售</x:v>
      </x:c>
      <x:c r="G1340" s="99" t="str">
        <x:v>6. sell /sel/ 卖；出售</x:v>
      </x:c>
    </x:row>
    <x:row r="1341" ht="18" customHeight="1">
      <x:c r="A1341" s="99" t="str">
        <x:v>S</x:v>
      </x:c>
      <x:c r="B1341" s="99" t="str">
        <x:v>动词</x:v>
      </x:c>
      <x:c r="C1341" s="99" t="n">
        <x:v>7</x:v>
      </x:c>
      <x:c r="D1341" s="99" t="str">
        <x:v>send</x:v>
      </x:c>
      <x:c r="E1341" s="99" t="str">
        <x:v>/send/</x:v>
      </x:c>
      <x:c r="F1341" s="99" t="str">
        <x:v>发送；寄</x:v>
      </x:c>
      <x:c r="G1341" s="99" t="str">
        <x:v>7. send /send/ 发送；寄</x:v>
      </x:c>
    </x:row>
    <x:row r="1342" ht="18" customHeight="1">
      <x:c r="A1342" s="99" t="str">
        <x:v>S</x:v>
      </x:c>
      <x:c r="B1342" s="99" t="str">
        <x:v>动词</x:v>
      </x:c>
      <x:c r="C1342" s="99" t="n">
        <x:v>8</x:v>
      </x:c>
      <x:c r="D1342" s="99" t="str">
        <x:v>set</x:v>
      </x:c>
      <x:c r="E1342" s="99" t="str">
        <x:v>/set/</x:v>
      </x:c>
      <x:c r="F1342" s="99" t="str">
        <x:v>设立；建立；设置</x:v>
      </x:c>
      <x:c r="G1342" s="99" t="str">
        <x:v>8. set /set/ 设立；建立；设置</x:v>
      </x:c>
    </x:row>
    <x:row r="1343" ht="18" customHeight="1">
      <x:c r="A1343" s="99" t="str">
        <x:v>S</x:v>
      </x:c>
      <x:c r="B1343" s="99" t="str">
        <x:v>动词</x:v>
      </x:c>
      <x:c r="C1343" s="99" t="n">
        <x:v>9</x:v>
      </x:c>
      <x:c r="D1343" s="99" t="str">
        <x:v>sew</x:v>
      </x:c>
      <x:c r="E1343" s="99" t="str">
        <x:v>/səʊ/</x:v>
      </x:c>
      <x:c r="F1343" s="99" t="str">
        <x:v>缝；缝纫</x:v>
      </x:c>
      <x:c r="G1343" s="99" t="str">
        <x:v>9. sew /səʊ/ 缝；缝纫</x:v>
      </x:c>
    </x:row>
    <x:row r="1344" ht="18" customHeight="1">
      <x:c r="A1344" s="99" t="str">
        <x:v>S</x:v>
      </x:c>
      <x:c r="B1344" s="99" t="str">
        <x:v>动词</x:v>
      </x:c>
      <x:c r="C1344" s="99" t="n">
        <x:v>10</x:v>
      </x:c>
      <x:c r="D1344" s="99" t="str">
        <x:v>shake</x:v>
      </x:c>
      <x:c r="E1344" s="99" t="str">
        <x:v>/ʃeɪk/</x:v>
      </x:c>
      <x:c r="F1344" s="99" t="str">
        <x:v>摇晃；摇动</x:v>
      </x:c>
      <x:c r="G1344" s="99" t="str">
        <x:v>10. shake /ʃeɪk/ 摇晃；摇动</x:v>
      </x:c>
    </x:row>
    <x:row r="1345" ht="18" customHeight="1">
      <x:c r="A1345" s="99" t="str">
        <x:v>S</x:v>
      </x:c>
      <x:c r="B1345" s="99" t="str">
        <x:v>动词</x:v>
      </x:c>
      <x:c r="C1345" s="99" t="n">
        <x:v>11</x:v>
      </x:c>
      <x:c r="D1345" s="99" t="str">
        <x:v>share</x:v>
      </x:c>
      <x:c r="E1345" s="99" t="str">
        <x:v>/ʃeə(r)/</x:v>
      </x:c>
      <x:c r="F1345" s="99" t="str">
        <x:v>共用；分享</x:v>
      </x:c>
      <x:c r="G1345" s="99" t="str">
        <x:v>11. share /ʃeə(r)/ 共用；分享</x:v>
      </x:c>
    </x:row>
    <x:row r="1346" ht="18" customHeight="1">
      <x:c r="A1346" s="99" t="str">
        <x:v>S</x:v>
      </x:c>
      <x:c r="B1346" s="99" t="str">
        <x:v>动词</x:v>
      </x:c>
      <x:c r="C1346" s="99" t="n">
        <x:v>12</x:v>
      </x:c>
      <x:c r="D1346" s="99" t="str">
        <x:v>shoot</x:v>
      </x:c>
      <x:c r="E1346" s="99" t="str">
        <x:v>/ʃuːt/</x:v>
      </x:c>
      <x:c r="F1346" s="99" t="str">
        <x:v>射击；发射</x:v>
      </x:c>
      <x:c r="G1346" s="99" t="str">
        <x:v>12. shoot /ʃuːt/ 射击；发射</x:v>
      </x:c>
    </x:row>
    <x:row r="1347" ht="18" customHeight="1">
      <x:c r="A1347" s="99" t="str">
        <x:v>S</x:v>
      </x:c>
      <x:c r="B1347" s="99" t="str">
        <x:v>动词</x:v>
      </x:c>
      <x:c r="C1347" s="99" t="n">
        <x:v>13</x:v>
      </x:c>
      <x:c r="D1347" s="99" t="str">
        <x:v>shop</x:v>
      </x:c>
      <x:c r="E1347" s="99" t="str">
        <x:v>/ʃɒp/</x:v>
      </x:c>
      <x:c r="F1347" s="99" t="str">
        <x:v>购物</x:v>
      </x:c>
      <x:c r="G1347" s="99" t="str">
        <x:v>13. shop /ʃɒp/ 购物</x:v>
      </x:c>
    </x:row>
    <x:row r="1348" ht="18" customHeight="1">
      <x:c r="A1348" s="99" t="str">
        <x:v>S</x:v>
      </x:c>
      <x:c r="B1348" s="99" t="str">
        <x:v>动词</x:v>
      </x:c>
      <x:c r="C1348" s="99" t="n">
        <x:v>14</x:v>
      </x:c>
      <x:c r="D1348" s="99" t="str">
        <x:v>show</x:v>
      </x:c>
      <x:c r="E1348" s="99" t="str">
        <x:v>/ʃəʊ/</x:v>
      </x:c>
      <x:c r="F1348" s="99" t="str">
        <x:v>展示；显示；给……看</x:v>
      </x:c>
      <x:c r="G1348" s="99" t="str">
        <x:v>14. show /ʃəʊ/ 展示；显示；给……看</x:v>
      </x:c>
    </x:row>
    <x:row r="1349" ht="18" customHeight="1">
      <x:c r="A1349" s="99" t="str">
        <x:v>S</x:v>
      </x:c>
      <x:c r="B1349" s="99" t="str">
        <x:v>动词</x:v>
      </x:c>
      <x:c r="C1349" s="99" t="n">
        <x:v>15</x:v>
      </x:c>
      <x:c r="D1349" s="99" t="str">
        <x:v>shut</x:v>
      </x:c>
      <x:c r="E1349" s="99" t="str">
        <x:v>/ʃʌt/</x:v>
      </x:c>
      <x:c r="F1349" s="99" t="str">
        <x:v>关闭；关上</x:v>
      </x:c>
      <x:c r="G1349" s="99" t="str">
        <x:v>15. shut /ʃʌt/ 关闭；关上</x:v>
      </x:c>
    </x:row>
    <x:row r="1350" ht="18" customHeight="1">
      <x:c r="A1350" s="99" t="str">
        <x:v>S</x:v>
      </x:c>
      <x:c r="B1350" s="99" t="str">
        <x:v>动词</x:v>
      </x:c>
      <x:c r="C1350" s="99" t="n">
        <x:v>16</x:v>
      </x:c>
      <x:c r="D1350" s="99" t="str">
        <x:v>sing</x:v>
      </x:c>
      <x:c r="E1350" s="99" t="str">
        <x:v>/sɪŋ/</x:v>
      </x:c>
      <x:c r="F1350" s="99" t="str">
        <x:v>唱；唱歌</x:v>
      </x:c>
      <x:c r="G1350" s="99" t="str">
        <x:v>16. sing /sɪŋ/ 唱；唱歌</x:v>
      </x:c>
    </x:row>
    <x:row r="1351" ht="18" customHeight="1">
      <x:c r="A1351" s="99" t="str">
        <x:v>S</x:v>
      </x:c>
      <x:c r="B1351" s="99" t="str">
        <x:v>动词</x:v>
      </x:c>
      <x:c r="C1351" s="99" t="n">
        <x:v>17</x:v>
      </x:c>
      <x:c r="D1351" s="99" t="str">
        <x:v>sit</x:v>
      </x:c>
      <x:c r="E1351" s="99" t="str">
        <x:v>/sɪt/</x:v>
      </x:c>
      <x:c r="F1351" s="99" t="str">
        <x:v>坐</x:v>
      </x:c>
      <x:c r="G1351" s="99" t="str">
        <x:v>17. sit /sɪt/ 坐</x:v>
      </x:c>
    </x:row>
    <x:row r="1352" ht="18" customHeight="1">
      <x:c r="A1352" s="99" t="str">
        <x:v>S</x:v>
      </x:c>
      <x:c r="B1352" s="99" t="str">
        <x:v>动词</x:v>
      </x:c>
      <x:c r="C1352" s="99" t="n">
        <x:v>18</x:v>
      </x:c>
      <x:c r="D1352" s="99" t="str">
        <x:v>skate</x:v>
      </x:c>
      <x:c r="E1352" s="99" t="str">
        <x:v>/skeɪt/</x:v>
      </x:c>
      <x:c r="F1352" s="99" t="str">
        <x:v>滑冰</x:v>
      </x:c>
      <x:c r="G1352" s="99" t="str">
        <x:v>18. skate /skeɪt/ 滑冰</x:v>
      </x:c>
    </x:row>
    <x:row r="1353" ht="18" customHeight="1">
      <x:c r="A1353" s="99" t="str">
        <x:v>S</x:v>
      </x:c>
      <x:c r="B1353" s="99" t="str">
        <x:v>动词</x:v>
      </x:c>
      <x:c r="C1353" s="99" t="n">
        <x:v>19</x:v>
      </x:c>
      <x:c r="D1353" s="99" t="str">
        <x:v>sleep</x:v>
      </x:c>
      <x:c r="E1353" s="99" t="str">
        <x:v>/sliːp/</x:v>
      </x:c>
      <x:c r="F1353" s="99" t="str">
        <x:v>睡觉</x:v>
      </x:c>
      <x:c r="G1353" s="99" t="str">
        <x:v>19. sleep /sliːp/ 睡觉</x:v>
      </x:c>
    </x:row>
    <x:row r="1354" ht="18" customHeight="1">
      <x:c r="A1354" s="99" t="str">
        <x:v>S</x:v>
      </x:c>
      <x:c r="B1354" s="99" t="str">
        <x:v>动词</x:v>
      </x:c>
      <x:c r="C1354" s="99" t="n">
        <x:v>20</x:v>
      </x:c>
      <x:c r="D1354" s="99" t="str">
        <x:v>slow</x:v>
      </x:c>
      <x:c r="E1354" s="99" t="str">
        <x:v>/sləʊ/</x:v>
      </x:c>
      <x:c r="F1354" s="99" t="str">
        <x:v>放慢；减速</x:v>
      </x:c>
      <x:c r="G1354" s="99" t="str">
        <x:v>20. slow /sləʊ/ 放慢；减速</x:v>
      </x:c>
    </x:row>
    <x:row r="1355" ht="18" customHeight="1">
      <x:c r="A1355" s="99" t="str">
        <x:v>S</x:v>
      </x:c>
      <x:c r="B1355" s="99" t="str">
        <x:v>动词</x:v>
      </x:c>
      <x:c r="C1355" s="99" t="n">
        <x:v>21</x:v>
      </x:c>
      <x:c r="D1355" s="99" t="str">
        <x:v>smile</x:v>
      </x:c>
      <x:c r="E1355" s="99" t="str">
        <x:v>/smaɪl/</x:v>
      </x:c>
      <x:c r="F1355" s="99" t="str">
        <x:v>微笑</x:v>
      </x:c>
      <x:c r="G1355" s="99" t="str">
        <x:v>21. smile /smaɪl/ 微笑</x:v>
      </x:c>
    </x:row>
    <x:row r="1356" ht="18" customHeight="1">
      <x:c r="A1356" s="99" t="str">
        <x:v>S</x:v>
      </x:c>
      <x:c r="B1356" s="99" t="str">
        <x:v>动词</x:v>
      </x:c>
      <x:c r="C1356" s="99" t="n">
        <x:v>22</x:v>
      </x:c>
      <x:c r="D1356" s="99" t="str">
        <x:v>snow</x:v>
      </x:c>
      <x:c r="E1356" s="99" t="str">
        <x:v>/snəʊ/</x:v>
      </x:c>
      <x:c r="F1356" s="99" t="str">
        <x:v>下雪</x:v>
      </x:c>
      <x:c r="G1356" s="99" t="str">
        <x:v>22. snow /snəʊ/ 下雪</x:v>
      </x:c>
    </x:row>
    <x:row r="1357" ht="18" customHeight="1">
      <x:c r="A1357" s="99" t="str">
        <x:v>S</x:v>
      </x:c>
      <x:c r="B1357" s="99" t="str">
        <x:v>动词</x:v>
      </x:c>
      <x:c r="C1357" s="99" t="n">
        <x:v>23</x:v>
      </x:c>
      <x:c r="D1357" s="99" t="str">
        <x:v>solve</x:v>
      </x:c>
      <x:c r="E1357" s="99" t="str">
        <x:v>/sɒlv/</x:v>
      </x:c>
      <x:c r="F1357" s="99" t="str">
        <x:v>解决问题</x:v>
      </x:c>
      <x:c r="G1357" s="99" t="str">
        <x:v>23. solve /sɒlv/ 解决问题</x:v>
      </x:c>
    </x:row>
    <x:row r="1358" ht="18" customHeight="1">
      <x:c r="A1358" s="99" t="str">
        <x:v>S</x:v>
      </x:c>
      <x:c r="B1358" s="99" t="str">
        <x:v>动词</x:v>
      </x:c>
      <x:c r="C1358" s="99" t="n">
        <x:v>24</x:v>
      </x:c>
      <x:c r="D1358" s="99" t="str">
        <x:v>sound</x:v>
      </x:c>
      <x:c r="E1358" s="99" t="str">
        <x:v>/saʊnd/</x:v>
      </x:c>
      <x:c r="F1358" s="99" t="str">
        <x:v>听起来；发出声音</x:v>
      </x:c>
      <x:c r="G1358" s="99" t="str">
        <x:v>24. sound /saʊnd/ 听起来；发出声音</x:v>
      </x:c>
    </x:row>
    <x:row r="1359" ht="18" customHeight="1">
      <x:c r="A1359" s="99" t="str">
        <x:v>S</x:v>
      </x:c>
      <x:c r="B1359" s="99" t="str">
        <x:v>动词</x:v>
      </x:c>
      <x:c r="C1359" s="99" t="n">
        <x:v>25</x:v>
      </x:c>
      <x:c r="D1359" s="99" t="str">
        <x:v>speak</x:v>
      </x:c>
      <x:c r="E1359" s="99" t="str">
        <x:v>/spiːk/</x:v>
      </x:c>
      <x:c r="F1359" s="99" t="str">
        <x:v>说；讲；谈话</x:v>
      </x:c>
      <x:c r="G1359" s="99" t="str">
        <x:v>25. speak /spiːk/ 说；讲；谈话</x:v>
      </x:c>
    </x:row>
    <x:row r="1360" ht="18" customHeight="1">
      <x:c r="A1360" s="99" t="str">
        <x:v>S</x:v>
      </x:c>
      <x:c r="B1360" s="99" t="str">
        <x:v>动词</x:v>
      </x:c>
      <x:c r="C1360" s="99" t="n">
        <x:v>26</x:v>
      </x:c>
      <x:c r="D1360" s="99" t="str">
        <x:v>spell</x:v>
      </x:c>
      <x:c r="E1360" s="99" t="str">
        <x:v>/spel/</x:v>
      </x:c>
      <x:c r="F1360" s="99" t="str">
        <x:v>拼写</x:v>
      </x:c>
      <x:c r="G1360" s="99" t="str">
        <x:v>26. spell /spel/ 拼写</x:v>
      </x:c>
    </x:row>
    <x:row r="1361" ht="18" customHeight="1">
      <x:c r="A1361" s="99" t="str">
        <x:v>S</x:v>
      </x:c>
      <x:c r="B1361" s="99" t="str">
        <x:v>动词</x:v>
      </x:c>
      <x:c r="C1361" s="99" t="n">
        <x:v>27</x:v>
      </x:c>
      <x:c r="D1361" s="99" t="str">
        <x:v>spend</x:v>
      </x:c>
      <x:c r="E1361" s="99" t="str">
        <x:v>/spend/</x:v>
      </x:c>
      <x:c r="F1361" s="99" t="str">
        <x:v>花费；度过</x:v>
      </x:c>
      <x:c r="G1361" s="99" t="str">
        <x:v>27. spend /spend/ 花费；度过</x:v>
      </x:c>
    </x:row>
    <x:row r="1362" ht="18" customHeight="1">
      <x:c r="A1362" s="99" t="str">
        <x:v>S</x:v>
      </x:c>
      <x:c r="B1362" s="99" t="str">
        <x:v>动词</x:v>
      </x:c>
      <x:c r="C1362" s="99" t="n">
        <x:v>28</x:v>
      </x:c>
      <x:c r="D1362" s="99" t="str">
        <x:v>spread</x:v>
      </x:c>
      <x:c r="E1362" s="99" t="str">
        <x:v>/spred/</x:v>
      </x:c>
      <x:c r="F1362" s="99" t="str">
        <x:v>传播；展开</x:v>
      </x:c>
      <x:c r="G1362" s="99" t="str">
        <x:v>28. spread /spred/ 传播；展开</x:v>
      </x:c>
    </x:row>
    <x:row r="1363" ht="18" customHeight="1">
      <x:c r="A1363" s="99" t="str">
        <x:v>S</x:v>
      </x:c>
      <x:c r="B1363" s="99" t="str">
        <x:v>动词</x:v>
      </x:c>
      <x:c r="C1363" s="99" t="n">
        <x:v>29</x:v>
      </x:c>
      <x:c r="D1363" s="99" t="str">
        <x:v>stand</x:v>
      </x:c>
      <x:c r="E1363" s="99" t="str">
        <x:v>/stænd/</x:v>
      </x:c>
      <x:c r="F1363" s="99" t="str">
        <x:v>站立；忍受</x:v>
      </x:c>
      <x:c r="G1363" s="99" t="str">
        <x:v>29. stand /stænd/ 站立；忍受</x:v>
      </x:c>
    </x:row>
    <x:row r="1364" ht="18" customHeight="1">
      <x:c r="A1364" s="99" t="str">
        <x:v>S</x:v>
      </x:c>
      <x:c r="B1364" s="99" t="str">
        <x:v>动词</x:v>
      </x:c>
      <x:c r="C1364" s="99" t="n">
        <x:v>30</x:v>
      </x:c>
      <x:c r="D1364" s="99" t="str">
        <x:v>start</x:v>
      </x:c>
      <x:c r="E1364" s="99" t="str">
        <x:v>/stɑːt/</x:v>
      </x:c>
      <x:c r="F1364" s="99" t="str">
        <x:v>开始；启动</x:v>
      </x:c>
      <x:c r="G1364" s="99" t="str">
        <x:v>30. start /stɑːt/ 开始；启动</x:v>
      </x:c>
    </x:row>
    <x:row r="1365" ht="18" customHeight="1">
      <x:c r="A1365" s="99" t="str">
        <x:v>S</x:v>
      </x:c>
      <x:c r="B1365" s="99" t="str">
        <x:v>动词</x:v>
      </x:c>
      <x:c r="C1365" s="99" t="n">
        <x:v>31</x:v>
      </x:c>
      <x:c r="D1365" s="99" t="str">
        <x:v>stay</x:v>
      </x:c>
      <x:c r="E1365" s="99" t="str">
        <x:v>/steɪ/</x:v>
      </x:c>
      <x:c r="F1365" s="99" t="str">
        <x:v>保持；停留；暂住</x:v>
      </x:c>
      <x:c r="G1365" s="99" t="str">
        <x:v>31. stay /steɪ/ 保持；停留；暂住</x:v>
      </x:c>
    </x:row>
    <x:row r="1366" ht="18" customHeight="1">
      <x:c r="A1366" s="99" t="str">
        <x:v>S</x:v>
      </x:c>
      <x:c r="B1366" s="99" t="str">
        <x:v>动词</x:v>
      </x:c>
      <x:c r="C1366" s="99" t="n">
        <x:v>32</x:v>
      </x:c>
      <x:c r="D1366" s="99" t="str">
        <x:v>steal</x:v>
      </x:c>
      <x:c r="E1366" s="99" t="str">
        <x:v>/stiːl/</x:v>
      </x:c>
      <x:c r="F1366" s="99" t="str">
        <x:v>偷；窃取</x:v>
      </x:c>
      <x:c r="G1366" s="99" t="str">
        <x:v>32. steal /stiːl/ 偷；窃取</x:v>
      </x:c>
    </x:row>
    <x:row r="1367" ht="18" customHeight="1">
      <x:c r="A1367" s="99" t="str">
        <x:v>S</x:v>
      </x:c>
      <x:c r="B1367" s="99" t="str">
        <x:v>动词</x:v>
      </x:c>
      <x:c r="C1367" s="99" t="n">
        <x:v>33</x:v>
      </x:c>
      <x:c r="D1367" s="99" t="str">
        <x:v>stick</x:v>
      </x:c>
      <x:c r="E1367" s="99" t="str">
        <x:v>/stɪk/</x:v>
      </x:c>
      <x:c r="F1367" s="99" t="str">
        <x:v>粘贴；粘住；刺</x:v>
      </x:c>
      <x:c r="G1367" s="99" t="str">
        <x:v>33. stick /stɪk/ 粘贴；粘住；刺</x:v>
      </x:c>
    </x:row>
    <x:row r="1368" ht="18" customHeight="1">
      <x:c r="A1368" s="99" t="str">
        <x:v>S</x:v>
      </x:c>
      <x:c r="B1368" s="99" t="str">
        <x:v>动词</x:v>
      </x:c>
      <x:c r="C1368" s="99" t="n">
        <x:v>34</x:v>
      </x:c>
      <x:c r="D1368" s="99" t="str">
        <x:v>stop</x:v>
      </x:c>
      <x:c r="E1368" s="99" t="str">
        <x:v>/stɒp/</x:v>
      </x:c>
      <x:c r="F1368" s="99" t="str">
        <x:v>停止；阻止</x:v>
      </x:c>
      <x:c r="G1368" s="99" t="str">
        <x:v>34. stop /stɒp/ 停止；阻止</x:v>
      </x:c>
    </x:row>
    <x:row r="1369" ht="18" customHeight="1">
      <x:c r="A1369" s="99" t="str">
        <x:v>S</x:v>
      </x:c>
      <x:c r="B1369" s="99" t="str">
        <x:v>动词</x:v>
      </x:c>
      <x:c r="C1369" s="99" t="n">
        <x:v>35</x:v>
      </x:c>
      <x:c r="D1369" s="99" t="str">
        <x:v>store</x:v>
      </x:c>
      <x:c r="E1369" s="99" t="str">
        <x:v>/stɔː(r)/</x:v>
      </x:c>
      <x:c r="F1369" s="99" t="str">
        <x:v>储存；存放</x:v>
      </x:c>
      <x:c r="G1369" s="99" t="str">
        <x:v>35. store /stɔː(r)/ 储存；存放</x:v>
      </x:c>
    </x:row>
    <x:row r="1370" ht="18" customHeight="1">
      <x:c r="A1370" s="99" t="str">
        <x:v>S</x:v>
      </x:c>
      <x:c r="B1370" s="99" t="str">
        <x:v>动词</x:v>
      </x:c>
      <x:c r="C1370" s="99" t="n">
        <x:v>36</x:v>
      </x:c>
      <x:c r="D1370" s="99" t="str">
        <x:v>study</x:v>
      </x:c>
      <x:c r="E1370" s="99" t="str">
        <x:v>/ˈstʌdi/</x:v>
      </x:c>
      <x:c r="F1370" s="99" t="str">
        <x:v>学习；研究</x:v>
      </x:c>
      <x:c r="G1370" s="99" t="str">
        <x:v>36. study /ˈstʌdi/ 学习；研究</x:v>
      </x:c>
    </x:row>
    <x:row r="1371" ht="18" customHeight="1">
      <x:c r="A1371" s="99" t="str">
        <x:v>S</x:v>
      </x:c>
      <x:c r="B1371" s="99" t="str">
        <x:v>动词</x:v>
      </x:c>
      <x:c r="C1371" s="99" t="n">
        <x:v>37</x:v>
      </x:c>
      <x:c r="D1371" s="99" t="str">
        <x:v>succeed</x:v>
      </x:c>
      <x:c r="E1371" s="99" t="str">
        <x:v>/səkˈsiːd/</x:v>
      </x:c>
      <x:c r="F1371" s="99" t="str">
        <x:v>成功</x:v>
      </x:c>
      <x:c r="G1371" s="99" t="str">
        <x:v>37. succeed /səkˈsiːd/ 成功</x:v>
      </x:c>
    </x:row>
    <x:row r="1372" ht="18" customHeight="1">
      <x:c r="A1372" s="99" t="str">
        <x:v>S</x:v>
      </x:c>
      <x:c r="B1372" s="99" t="str">
        <x:v>动词</x:v>
      </x:c>
      <x:c r="C1372" s="99" t="n">
        <x:v>38</x:v>
      </x:c>
      <x:c r="D1372" s="99" t="str">
        <x:v>suggest</x:v>
      </x:c>
      <x:c r="E1372" s="99" t="str">
        <x:v>/səˈdʒest/</x:v>
      </x:c>
      <x:c r="F1372" s="99" t="str">
        <x:v>建议；提议</x:v>
      </x:c>
      <x:c r="G1372" s="99" t="str">
        <x:v>38. suggest /səˈdʒest/ 建议；提议</x:v>
      </x:c>
    </x:row>
    <x:row r="1373" ht="18" customHeight="1">
      <x:c r="A1373" s="99" t="str">
        <x:v>S</x:v>
      </x:c>
      <x:c r="B1373" s="99" t="str">
        <x:v>动词</x:v>
      </x:c>
      <x:c r="C1373" s="99" t="n">
        <x:v>39</x:v>
      </x:c>
      <x:c r="D1373" s="99" t="str">
        <x:v>support</x:v>
      </x:c>
      <x:c r="E1373" s="99" t="str">
        <x:v>/səˈpɔːt/</x:v>
      </x:c>
      <x:c r="F1373" s="99" t="str">
        <x:v>支持；拥护</x:v>
      </x:c>
      <x:c r="G1373" s="99" t="str">
        <x:v>39. support /səˈpɔːt/ 支持；拥护</x:v>
      </x:c>
    </x:row>
    <x:row r="1374" ht="18" customHeight="1">
      <x:c r="A1374" s="99" t="str">
        <x:v>S</x:v>
      </x:c>
      <x:c r="B1374" s="99" t="str">
        <x:v>动词</x:v>
      </x:c>
      <x:c r="C1374" s="99" t="n">
        <x:v>40</x:v>
      </x:c>
      <x:c r="D1374" s="99" t="str">
        <x:v>suppose</x:v>
      </x:c>
      <x:c r="E1374" s="99" t="str">
        <x:v>/səˈpəʊz/</x:v>
      </x:c>
      <x:c r="F1374" s="99" t="str">
        <x:v>假定；认为</x:v>
      </x:c>
      <x:c r="G1374" s="99" t="str">
        <x:v>40. suppose /səˈpəʊz/ 假定；认为</x:v>
      </x:c>
    </x:row>
    <x:row r="1375" ht="18" customHeight="1">
      <x:c r="A1375" s="99" t="str">
        <x:v>S</x:v>
      </x:c>
      <x:c r="B1375" s="99" t="str">
        <x:v>动词</x:v>
      </x:c>
      <x:c r="C1375" s="99" t="n">
        <x:v>41</x:v>
      </x:c>
      <x:c r="D1375" s="99" t="str">
        <x:v>surprise</x:v>
      </x:c>
      <x:c r="E1375" s="99" t="str">
        <x:v>/səˈpraɪz/</x:v>
      </x:c>
      <x:c r="F1375" s="99" t="str">
        <x:v>使吃惊；使惊讶</x:v>
      </x:c>
      <x:c r="G1375" s="99" t="str">
        <x:v>41. surprise /səˈpraɪz/ 使吃惊；使惊讶</x:v>
      </x:c>
    </x:row>
    <x:row r="1376" ht="18" customHeight="1">
      <x:c r="A1376" s="99" t="str">
        <x:v>S</x:v>
      </x:c>
      <x:c r="B1376" s="99" t="str">
        <x:v>动词</x:v>
      </x:c>
      <x:c r="C1376" s="99" t="n">
        <x:v>42</x:v>
      </x:c>
      <x:c r="D1376" s="99" t="str">
        <x:v>sweep</x:v>
      </x:c>
      <x:c r="E1376" s="99" t="str">
        <x:v>/swiːp/</x:v>
      </x:c>
      <x:c r="F1376" s="99" t="str">
        <x:v>打扫；清扫</x:v>
      </x:c>
      <x:c r="G1376" s="99" t="str">
        <x:v>42. sweep /swiːp/ 打扫；清扫</x:v>
      </x:c>
    </x:row>
    <x:row r="1377" ht="18" customHeight="1">
      <x:c r="A1377" s="99" t="str">
        <x:v>S</x:v>
      </x:c>
      <x:c r="B1377" s="99" t="str">
        <x:v>动词</x:v>
      </x:c>
      <x:c r="C1377" s="99" t="n">
        <x:v>43</x:v>
      </x:c>
      <x:c r="D1377" s="99" t="str">
        <x:v>swim</x:v>
      </x:c>
      <x:c r="E1377" s="99" t="str">
        <x:v>/swɪm/</x:v>
      </x:c>
      <x:c r="F1377" s="99" t="str">
        <x:v>游泳</x:v>
      </x:c>
      <x:c r="G1377" s="99" t="str">
        <x:v>43. swim /swɪm/ 游泳</x:v>
      </x:c>
    </x:row>
    <x:row r="1378" ht="18" customHeight="1">
      <x:c r="A1378" s="99" t="str">
        <x:v>S</x:v>
      </x:c>
      <x:c r="B1378" s="99" t="str">
        <x:v>动词</x:v>
      </x:c>
      <x:c r="C1378" s="99" t="n">
        <x:v>44</x:v>
      </x:c>
      <x:c r="D1378" s="99" t="str">
        <x:v>swing</x:v>
      </x:c>
      <x:c r="E1378" s="99" t="str">
        <x:v>/swɪŋ/</x:v>
      </x:c>
      <x:c r="F1378" s="99" t="str">
        <x:v>摇摆；摆动</x:v>
      </x:c>
      <x:c r="G1378" s="99" t="str">
        <x:v>44. swing /swɪŋ/ 摇摆；摆动</x:v>
      </x:c>
    </x:row>
    <x:row r="1379" ht="18" customHeight="1">
      <x:c r="A1379" s="99" t="str">
        <x:v>S</x:v>
      </x:c>
      <x:c r="B1379" s="99" t="str">
        <x:v>动词</x:v>
      </x:c>
      <x:c r="C1379" s="99" t="n">
        <x:v>45</x:v>
      </x:c>
      <x:c r="D1379" s="99" t="str">
        <x:v>symbolize</x:v>
      </x:c>
      <x:c r="E1379" s="99" t="str">
        <x:v>/ˈsɪmbəlaɪz/</x:v>
      </x:c>
      <x:c r="F1379" s="99" t="str">
        <x:v>象征；代表（注：词表中symbol为名词，补充动词形式）</x:v>
      </x:c>
      <x:c r="G1379" s="99" t="str">
        <x:v>45. symbolize /ˈsɪmbəlaɪz/ 象征；代表（注：词表中symbol为名词，补充动词形式）</x:v>
      </x:c>
    </x:row>
    <x:row r="1380" ht="18" customHeight="1">
      <x:c r="A1380" s="99" t="str">
        <x:v>S</x:v>
      </x:c>
      <x:c r="B1380" s="99" t="str">
        <x:v>形容词</x:v>
      </x:c>
      <x:c r="C1380" s="99" t="n">
        <x:v>1</x:v>
      </x:c>
      <x:c r="D1380" s="99" t="str">
        <x:v>sad</x:v>
      </x:c>
      <x:c r="E1380" s="99" t="str">
        <x:v>/sæd/</x:v>
      </x:c>
      <x:c r="F1380" s="99" t="str">
        <x:v>伤心的；难过的</x:v>
      </x:c>
      <x:c r="G1380" s="99" t="str">
        <x:v>1. sad /sæd/ 伤心的；难过的</x:v>
      </x:c>
    </x:row>
    <x:row r="1381" ht="18" customHeight="1">
      <x:c r="A1381" s="99" t="str">
        <x:v>S</x:v>
      </x:c>
      <x:c r="B1381" s="99" t="str">
        <x:v>形容词</x:v>
      </x:c>
      <x:c r="C1381" s="99" t="n">
        <x:v>2</x:v>
      </x:c>
      <x:c r="D1381" s="99" t="str">
        <x:v>safe</x:v>
      </x:c>
      <x:c r="E1381" s="99" t="str">
        <x:v>/seɪf/</x:v>
      </x:c>
      <x:c r="F1381" s="99" t="str">
        <x:v>安全的</x:v>
      </x:c>
      <x:c r="G1381" s="99" t="str">
        <x:v>2. safe /seɪf/ 安全的</x:v>
      </x:c>
    </x:row>
    <x:row r="1382" ht="18" customHeight="1">
      <x:c r="A1382" s="99" t="str">
        <x:v>S</x:v>
      </x:c>
      <x:c r="B1382" s="99" t="str">
        <x:v>形容词</x:v>
      </x:c>
      <x:c r="C1382" s="99" t="n">
        <x:v>3</x:v>
      </x:c>
      <x:c r="D1382" s="99" t="str">
        <x:v>same</x:v>
      </x:c>
      <x:c r="E1382" s="99" t="str">
        <x:v>/seɪm/</x:v>
      </x:c>
      <x:c r="F1382" s="99" t="str">
        <x:v>相同的；同一的</x:v>
      </x:c>
      <x:c r="G1382" s="99" t="str">
        <x:v>3. same /seɪm/ 相同的；同一的</x:v>
      </x:c>
    </x:row>
    <x:row r="1383" ht="18" customHeight="1">
      <x:c r="A1383" s="99" t="str">
        <x:v>S</x:v>
      </x:c>
      <x:c r="B1383" s="99" t="str">
        <x:v>形容词</x:v>
      </x:c>
      <x:c r="C1383" s="99" t="n">
        <x:v>4</x:v>
      </x:c>
      <x:c r="D1383" s="99" t="str">
        <x:v>salty</x:v>
      </x:c>
      <x:c r="E1383" s="99" t="str">
        <x:v>/ˈsɔːlti/</x:v>
      </x:c>
      <x:c r="F1383" s="99" t="str">
        <x:v>咸的</x:v>
      </x:c>
      <x:c r="G1383" s="99" t="str">
        <x:v>4. salty /ˈsɔːlti/ 咸的</x:v>
      </x:c>
    </x:row>
    <x:row r="1384" ht="18" customHeight="1">
      <x:c r="A1384" s="99" t="str">
        <x:v>S</x:v>
      </x:c>
      <x:c r="B1384" s="99" t="str">
        <x:v>形容词</x:v>
      </x:c>
      <x:c r="C1384" s="99" t="n">
        <x:v>5</x:v>
      </x:c>
      <x:c r="D1384" s="99" t="str">
        <x:v>same</x:v>
      </x:c>
      <x:c r="E1384" s="99" t="str">
        <x:v>/seɪm/</x:v>
      </x:c>
      <x:c r="F1384" s="99" t="str">
        <x:v>同样的</x:v>
      </x:c>
      <x:c r="G1384" s="99" t="str">
        <x:v>5. same /seɪm/ 同样的</x:v>
      </x:c>
    </x:row>
    <x:row r="1385" ht="18" customHeight="1">
      <x:c r="A1385" s="99" t="str">
        <x:v>S</x:v>
      </x:c>
      <x:c r="B1385" s="99" t="str">
        <x:v>形容词</x:v>
      </x:c>
      <x:c r="C1385" s="99" t="n">
        <x:v>6</x:v>
      </x:c>
      <x:c r="D1385" s="99" t="str">
        <x:v>scared</x:v>
      </x:c>
      <x:c r="E1385" s="99" t="str">
        <x:v>/skeəd/</x:v>
      </x:c>
      <x:c r="F1385" s="99" t="str">
        <x:v>害怕的；恐惧的</x:v>
      </x:c>
      <x:c r="G1385" s="99" t="str">
        <x:v>6. scared /skeəd/ 害怕的；恐惧的</x:v>
      </x:c>
    </x:row>
    <x:row r="1386" ht="18" customHeight="1">
      <x:c r="A1386" s="99" t="str">
        <x:v>S</x:v>
      </x:c>
      <x:c r="B1386" s="99" t="str">
        <x:v>形容词</x:v>
      </x:c>
      <x:c r="C1386" s="99" t="n">
        <x:v>7</x:v>
      </x:c>
      <x:c r="D1386" s="99" t="str">
        <x:v>serious</x:v>
      </x:c>
      <x:c r="E1386" s="99" t="str">
        <x:v>/ˈsɪəriəs/</x:v>
      </x:c>
      <x:c r="F1386" s="99" t="str">
        <x:v>严肃的；认真的</x:v>
      </x:c>
      <x:c r="G1386" s="99" t="str">
        <x:v>7. serious /ˈsɪəriəs/ 严肃的；认真的</x:v>
      </x:c>
    </x:row>
    <x:row r="1387" ht="18" customHeight="1">
      <x:c r="A1387" s="99" t="str">
        <x:v>S</x:v>
      </x:c>
      <x:c r="B1387" s="99" t="str">
        <x:v>形容词</x:v>
      </x:c>
      <x:c r="C1387" s="99" t="n">
        <x:v>8</x:v>
      </x:c>
      <x:c r="D1387" s="99" t="str">
        <x:v>sharp</x:v>
      </x:c>
      <x:c r="E1387" s="99" t="str">
        <x:v>/ʃɑːp/</x:v>
      </x:c>
      <x:c r="F1387" s="99" t="str">
        <x:v>锋利的；尖锐的</x:v>
      </x:c>
      <x:c r="G1387" s="99" t="str">
        <x:v>8. sharp /ʃɑːp/ 锋利的；尖锐的</x:v>
      </x:c>
    </x:row>
    <x:row r="1388" ht="18" customHeight="1">
      <x:c r="A1388" s="99" t="str">
        <x:v>S</x:v>
      </x:c>
      <x:c r="B1388" s="99" t="str">
        <x:v>形容词</x:v>
      </x:c>
      <x:c r="C1388" s="99" t="n">
        <x:v>9</x:v>
      </x:c>
      <x:c r="D1388" s="99" t="str">
        <x:v>shy</x:v>
      </x:c>
      <x:c r="E1388" s="99" t="str">
        <x:v>/ʃaɪ/</x:v>
      </x:c>
      <x:c r="F1388" s="99" t="str">
        <x:v>羞怯的；腼腆的</x:v>
      </x:c>
      <x:c r="G1388" s="99" t="str">
        <x:v>9. shy /ʃaɪ/ 羞怯的；腼腆的</x:v>
      </x:c>
    </x:row>
    <x:row r="1389" ht="18" customHeight="1">
      <x:c r="A1389" s="99" t="str">
        <x:v>S</x:v>
      </x:c>
      <x:c r="B1389" s="99" t="str">
        <x:v>形容词</x:v>
      </x:c>
      <x:c r="C1389" s="99" t="n">
        <x:v>10</x:v>
      </x:c>
      <x:c r="D1389" s="99" t="str">
        <x:v>sick</x:v>
      </x:c>
      <x:c r="E1389" s="99" t="str">
        <x:v>/sɪk/</x:v>
      </x:c>
      <x:c r="F1389" s="99" t="str">
        <x:v>生病的；不舒服的</x:v>
      </x:c>
      <x:c r="G1389" s="99" t="str">
        <x:v>10. sick /sɪk/ 生病的；不舒服的</x:v>
      </x:c>
    </x:row>
    <x:row r="1390" ht="18" customHeight="1">
      <x:c r="A1390" s="99" t="str">
        <x:v>S</x:v>
      </x:c>
      <x:c r="B1390" s="99" t="str">
        <x:v>形容词</x:v>
      </x:c>
      <x:c r="C1390" s="99" t="n">
        <x:v>11</x:v>
      </x:c>
      <x:c r="D1390" s="99" t="str">
        <x:v>silent</x:v>
      </x:c>
      <x:c r="E1390" s="99" t="str">
        <x:v>/ˈsaɪlənt/</x:v>
      </x:c>
      <x:c r="F1390" s="99" t="str">
        <x:v>沉默的；无声的</x:v>
      </x:c>
      <x:c r="G1390" s="99" t="str">
        <x:v>11. silent /ˈsaɪlənt/ 沉默的；无声的</x:v>
      </x:c>
    </x:row>
    <x:row r="1391" ht="18" customHeight="1">
      <x:c r="A1391" s="99" t="str">
        <x:v>S</x:v>
      </x:c>
      <x:c r="B1391" s="99" t="str">
        <x:v>形容词</x:v>
      </x:c>
      <x:c r="C1391" s="99" t="n">
        <x:v>12</x:v>
      </x:c>
      <x:c r="D1391" s="99" t="str">
        <x:v>silly</x:v>
      </x:c>
      <x:c r="E1391" s="99" t="str">
        <x:v>/ˈsɪli/</x:v>
      </x:c>
      <x:c r="F1391" s="99" t="str">
        <x:v>愚蠢的；傻的</x:v>
      </x:c>
      <x:c r="G1391" s="99" t="str">
        <x:v>12. silly /ˈsɪli/ 愚蠢的；傻的</x:v>
      </x:c>
    </x:row>
    <x:row r="1392" ht="18" customHeight="1">
      <x:c r="A1392" s="99" t="str">
        <x:v>S</x:v>
      </x:c>
      <x:c r="B1392" s="99" t="str">
        <x:v>形容词</x:v>
      </x:c>
      <x:c r="C1392" s="99" t="n">
        <x:v>13</x:v>
      </x:c>
      <x:c r="D1392" s="99" t="str">
        <x:v>simple</x:v>
      </x:c>
      <x:c r="E1392" s="99" t="str">
        <x:v>/ˈsɪmpl/</x:v>
      </x:c>
      <x:c r="F1392" s="99" t="str">
        <x:v>简单的；简易的</x:v>
      </x:c>
      <x:c r="G1392" s="99" t="str">
        <x:v>13. simple /ˈsɪmpl/ 简单的；简易的</x:v>
      </x:c>
    </x:row>
    <x:row r="1393" ht="18" customHeight="1">
      <x:c r="A1393" s="99" t="str">
        <x:v>S</x:v>
      </x:c>
      <x:c r="B1393" s="99" t="str">
        <x:v>形容词</x:v>
      </x:c>
      <x:c r="C1393" s="99" t="n">
        <x:v>14</x:v>
      </x:c>
      <x:c r="D1393" s="99" t="str">
        <x:v>slow</x:v>
      </x:c>
      <x:c r="E1393" s="99" t="str">
        <x:v>/sləʊ/</x:v>
      </x:c>
      <x:c r="F1393" s="99" t="str">
        <x:v>慢的；缓慢的</x:v>
      </x:c>
      <x:c r="G1393" s="99" t="str">
        <x:v>14. slow /sləʊ/ 慢的；缓慢的</x:v>
      </x:c>
    </x:row>
    <x:row r="1394" ht="18" customHeight="1">
      <x:c r="A1394" s="99" t="str">
        <x:v>S</x:v>
      </x:c>
      <x:c r="B1394" s="99" t="str">
        <x:v>形容词</x:v>
      </x:c>
      <x:c r="C1394" s="99" t="n">
        <x:v>15</x:v>
      </x:c>
      <x:c r="D1394" s="99" t="str">
        <x:v>small</x:v>
      </x:c>
      <x:c r="E1394" s="99" t="str">
        <x:v>/smɔːl/</x:v>
      </x:c>
      <x:c r="F1394" s="99" t="str">
        <x:v>小的</x:v>
      </x:c>
      <x:c r="G1394" s="99" t="str">
        <x:v>15. small /smɔːl/ 小的</x:v>
      </x:c>
    </x:row>
    <x:row r="1395" ht="18" customHeight="1">
      <x:c r="A1395" s="99" t="str">
        <x:v>S</x:v>
      </x:c>
      <x:c r="B1395" s="99" t="str">
        <x:v>形容词</x:v>
      </x:c>
      <x:c r="C1395" s="99" t="n">
        <x:v>16</x:v>
      </x:c>
      <x:c r="D1395" s="99" t="str">
        <x:v>smart</x:v>
      </x:c>
      <x:c r="E1395" s="99" t="str">
        <x:v>/smɑːt/</x:v>
      </x:c>
      <x:c r="F1395" s="99" t="str">
        <x:v>聪明的；机灵的</x:v>
      </x:c>
      <x:c r="G1395" s="99" t="str">
        <x:v>16. smart /smɑːt/ 聪明的；机灵的</x:v>
      </x:c>
    </x:row>
    <x:row r="1396" ht="18" customHeight="1">
      <x:c r="A1396" s="99" t="str">
        <x:v>S</x:v>
      </x:c>
      <x:c r="B1396" s="99" t="str">
        <x:v>形容词</x:v>
      </x:c>
      <x:c r="C1396" s="99" t="n">
        <x:v>17</x:v>
      </x:c>
      <x:c r="D1396" s="99" t="str">
        <x:v>smooth</x:v>
      </x:c>
      <x:c r="E1396" s="99" t="str">
        <x:v>/smuːð/</x:v>
      </x:c>
      <x:c r="F1396" s="99" t="str">
        <x:v>光滑的；平坦的</x:v>
      </x:c>
      <x:c r="G1396" s="99" t="str">
        <x:v>17. smooth /smuːð/ 光滑的；平坦的</x:v>
      </x:c>
    </x:row>
    <x:row r="1397" ht="18" customHeight="1">
      <x:c r="A1397" s="99" t="str">
        <x:v>S</x:v>
      </x:c>
      <x:c r="B1397" s="99" t="str">
        <x:v>形容词</x:v>
      </x:c>
      <x:c r="C1397" s="99" t="n">
        <x:v>18</x:v>
      </x:c>
      <x:c r="D1397" s="99" t="str">
        <x:v>snowy</x:v>
      </x:c>
      <x:c r="E1397" s="99" t="str">
        <x:v>/ˈsnəʊi/</x:v>
      </x:c>
      <x:c r="F1397" s="99" t="str">
        <x:v>多雪的；下雪的</x:v>
      </x:c>
      <x:c r="G1397" s="99" t="str">
        <x:v>18. snowy /ˈsnəʊi/ 多雪的；下雪的</x:v>
      </x:c>
    </x:row>
    <x:row r="1398" ht="18" customHeight="1">
      <x:c r="A1398" s="99" t="str">
        <x:v>S</x:v>
      </x:c>
      <x:c r="B1398" s="99" t="str">
        <x:v>形容词</x:v>
      </x:c>
      <x:c r="C1398" s="99" t="n">
        <x:v>19</x:v>
      </x:c>
      <x:c r="D1398" s="99" t="str">
        <x:v>soft</x:v>
      </x:c>
      <x:c r="E1398" s="99" t="str">
        <x:v>/sɒft/</x:v>
      </x:c>
      <x:c r="F1398" s="99" t="str">
        <x:v>软的；柔软的</x:v>
      </x:c>
      <x:c r="G1398" s="99" t="str">
        <x:v>19. soft /sɒft/ 软的；柔软的</x:v>
      </x:c>
    </x:row>
    <x:row r="1399" ht="18" customHeight="1">
      <x:c r="A1399" s="99" t="str">
        <x:v>S</x:v>
      </x:c>
      <x:c r="B1399" s="99" t="str">
        <x:v>形容词</x:v>
      </x:c>
      <x:c r="C1399" s="99" t="n">
        <x:v>20</x:v>
      </x:c>
      <x:c r="D1399" s="99" t="str">
        <x:v>solar</x:v>
      </x:c>
      <x:c r="E1399" s="99" t="str">
        <x:v>/ˈsəʊlə(r)/</x:v>
      </x:c>
      <x:c r="F1399" s="99" t="str">
        <x:v>太阳的；与太阳有关的</x:v>
      </x:c>
      <x:c r="G1399" s="99" t="str">
        <x:v>20. solar /ˈsəʊlə(r)/ 太阳的；与太阳有关的</x:v>
      </x:c>
    </x:row>
    <x:row r="1400" ht="18" customHeight="1">
      <x:c r="A1400" s="99" t="str">
        <x:v>S</x:v>
      </x:c>
      <x:c r="B1400" s="99" t="str">
        <x:v>形容词</x:v>
      </x:c>
      <x:c r="C1400" s="99" t="n">
        <x:v>21</x:v>
      </x:c>
      <x:c r="D1400" s="99" t="str">
        <x:v>some</x:v>
      </x:c>
      <x:c r="E1400" s="99" t="str">
        <x:v>/sʌm/</x:v>
      </x:c>
      <x:c r="F1400" s="99" t="str">
        <x:v>一些；若干</x:v>
      </x:c>
      <x:c r="G1400" s="99" t="str">
        <x:v>21. some /sʌm/ 一些；若干</x:v>
      </x:c>
    </x:row>
    <x:row r="1401" ht="18" customHeight="1">
      <x:c r="A1401" s="99" t="str">
        <x:v>S</x:v>
      </x:c>
      <x:c r="B1401" s="99" t="str">
        <x:v>形容词</x:v>
      </x:c>
      <x:c r="C1401" s="99" t="n">
        <x:v>22</x:v>
      </x:c>
      <x:c r="D1401" s="99" t="str">
        <x:v>sorry</x:v>
      </x:c>
      <x:c r="E1401" s="99" t="str">
        <x:v>/ˈsɒri/</x:v>
      </x:c>
      <x:c r="F1401" s="99" t="str">
        <x:v>对不起的；抱歉的</x:v>
      </x:c>
      <x:c r="G1401" s="99" t="str">
        <x:v>22. sorry /ˈsɒri/ 对不起的；抱歉的</x:v>
      </x:c>
    </x:row>
    <x:row r="1402" ht="18" customHeight="1">
      <x:c r="A1402" s="99" t="str">
        <x:v>S</x:v>
      </x:c>
      <x:c r="B1402" s="99" t="str">
        <x:v>形容词</x:v>
      </x:c>
      <x:c r="C1402" s="99" t="n">
        <x:v>23</x:v>
      </x:c>
      <x:c r="D1402" s="99" t="str">
        <x:v>sound</x:v>
      </x:c>
      <x:c r="E1402" s="99" t="str">
        <x:v>/saʊnd/</x:v>
      </x:c>
      <x:c r="F1402" s="99" t="str">
        <x:v>健康的；完好的</x:v>
      </x:c>
      <x:c r="G1402" s="99" t="str">
        <x:v>23. sound /saʊnd/ 健康的；完好的</x:v>
      </x:c>
    </x:row>
    <x:row r="1403" ht="18" customHeight="1">
      <x:c r="A1403" s="99" t="str">
        <x:v>S</x:v>
      </x:c>
      <x:c r="B1403" s="99" t="str">
        <x:v>形容词</x:v>
      </x:c>
      <x:c r="C1403" s="99" t="n">
        <x:v>24</x:v>
      </x:c>
      <x:c r="D1403" s="99" t="str">
        <x:v>sour</x:v>
      </x:c>
      <x:c r="E1403" s="99" t="str">
        <x:v>/ˈsaʊə(r)/</x:v>
      </x:c>
      <x:c r="F1403" s="99" t="str">
        <x:v>酸的；有酸味的</x:v>
      </x:c>
      <x:c r="G1403" s="99" t="str">
        <x:v>24. sour /ˈsaʊə(r)/ 酸的；有酸味的</x:v>
      </x:c>
    </x:row>
    <x:row r="1404" ht="18" customHeight="1">
      <x:c r="A1404" s="99" t="str">
        <x:v>S</x:v>
      </x:c>
      <x:c r="B1404" s="99" t="str">
        <x:v>形容词</x:v>
      </x:c>
      <x:c r="C1404" s="99" t="n">
        <x:v>25</x:v>
      </x:c>
      <x:c r="D1404" s="99" t="str">
        <x:v>special</x:v>
      </x:c>
      <x:c r="E1404" s="99" t="str">
        <x:v>/ˈspeʃl/</x:v>
      </x:c>
      <x:c r="F1404" s="99" t="str">
        <x:v>特殊的；特别的</x:v>
      </x:c>
      <x:c r="G1404" s="99" t="str">
        <x:v>25. special /ˈspeʃl/ 特殊的；特别的</x:v>
      </x:c>
    </x:row>
    <x:row r="1405" ht="18" customHeight="1">
      <x:c r="A1405" s="99" t="str">
        <x:v>S</x:v>
      </x:c>
      <x:c r="B1405" s="99" t="str">
        <x:v>形容词</x:v>
      </x:c>
      <x:c r="C1405" s="99" t="n">
        <x:v>26</x:v>
      </x:c>
      <x:c r="D1405" s="99" t="str">
        <x:v>spicy</x:v>
      </x:c>
      <x:c r="E1405" s="99" t="str">
        <x:v>/ˈspaɪsi/</x:v>
      </x:c>
      <x:c r="F1405" s="99" t="str">
        <x:v>辛辣的</x:v>
      </x:c>
      <x:c r="G1405" s="99" t="str">
        <x:v>26. spicy /ˈspaɪsi/ 辛辣的</x:v>
      </x:c>
    </x:row>
    <x:row r="1406" ht="18" customHeight="1">
      <x:c r="A1406" s="99" t="str">
        <x:v>S</x:v>
      </x:c>
      <x:c r="B1406" s="99" t="str">
        <x:v>形容词</x:v>
      </x:c>
      <x:c r="C1406" s="99" t="n">
        <x:v>27</x:v>
      </x:c>
      <x:c r="D1406" s="99" t="str">
        <x:v>square</x:v>
      </x:c>
      <x:c r="E1406" s="99" t="str">
        <x:v>/skweə(r)/</x:v>
      </x:c>
      <x:c r="F1406" s="99" t="str">
        <x:v>正方形的</x:v>
      </x:c>
      <x:c r="G1406" s="99" t="str">
        <x:v>27. square /skweə(r)/ 正方形的</x:v>
      </x:c>
    </x:row>
    <x:row r="1407" ht="18" customHeight="1">
      <x:c r="A1407" s="99" t="str">
        <x:v>S</x:v>
      </x:c>
      <x:c r="B1407" s="99" t="str">
        <x:v>形容词</x:v>
      </x:c>
      <x:c r="C1407" s="99" t="n">
        <x:v>28</x:v>
      </x:c>
      <x:c r="D1407" s="99" t="str">
        <x:v>straight</x:v>
      </x:c>
      <x:c r="E1407" s="99" t="str">
        <x:v>/streɪt/</x:v>
      </x:c>
      <x:c r="F1407" s="99" t="str">
        <x:v>直的；笔直的</x:v>
      </x:c>
      <x:c r="G1407" s="99" t="str">
        <x:v>28. straight /streɪt/ 直的；笔直的</x:v>
      </x:c>
    </x:row>
    <x:row r="1408" ht="18" customHeight="1">
      <x:c r="A1408" s="99" t="str">
        <x:v>S</x:v>
      </x:c>
      <x:c r="B1408" s="99" t="str">
        <x:v>形容词</x:v>
      </x:c>
      <x:c r="C1408" s="99" t="n">
        <x:v>29</x:v>
      </x:c>
      <x:c r="D1408" s="99" t="str">
        <x:v>strange</x:v>
      </x:c>
      <x:c r="E1408" s="99" t="str">
        <x:v>/streɪndʒ/</x:v>
      </x:c>
      <x:c r="F1408" s="99" t="str">
        <x:v>奇怪的；陌生的</x:v>
      </x:c>
      <x:c r="G1408" s="99" t="str">
        <x:v>29. strange /streɪndʒ/ 奇怪的；陌生的</x:v>
      </x:c>
    </x:row>
    <x:row r="1409" ht="18" customHeight="1">
      <x:c r="A1409" s="99" t="str">
        <x:v>S</x:v>
      </x:c>
      <x:c r="B1409" s="99" t="str">
        <x:v>形容词</x:v>
      </x:c>
      <x:c r="C1409" s="99" t="n">
        <x:v>30</x:v>
      </x:c>
      <x:c r="D1409" s="99" t="str">
        <x:v>strong</x:v>
      </x:c>
      <x:c r="E1409" s="99" t="str">
        <x:v>/strɒŋ/</x:v>
      </x:c>
      <x:c r="F1409" s="99" t="str">
        <x:v>强壮的；强烈的</x:v>
      </x:c>
      <x:c r="G1409" s="99" t="str">
        <x:v>30. strong /strɒŋ/ 强壮的；强烈的</x:v>
      </x:c>
    </x:row>
    <x:row r="1410" ht="18" customHeight="1">
      <x:c r="A1410" s="99" t="str">
        <x:v>S</x:v>
      </x:c>
      <x:c r="B1410" s="99" t="str">
        <x:v>形容词</x:v>
      </x:c>
      <x:c r="C1410" s="99" t="n">
        <x:v>31</x:v>
      </x:c>
      <x:c r="D1410" s="99" t="str">
        <x:v>stupid</x:v>
      </x:c>
      <x:c r="E1410" s="99" t="str">
        <x:v>/ˈstjuːpɪd/</x:v>
      </x:c>
      <x:c r="F1410" s="99" t="str">
        <x:v>愚蠢的；傻的</x:v>
      </x:c>
      <x:c r="G1410" s="99" t="str">
        <x:v>31. stupid /ˈstjuːpɪd/ 愚蠢的；傻的</x:v>
      </x:c>
    </x:row>
    <x:row r="1411" ht="18" customHeight="1">
      <x:c r="A1411" s="99" t="str">
        <x:v>S</x:v>
      </x:c>
      <x:c r="B1411" s="99" t="str">
        <x:v>形容词</x:v>
      </x:c>
      <x:c r="C1411" s="99" t="n">
        <x:v>32</x:v>
      </x:c>
      <x:c r="D1411" s="99" t="str">
        <x:v>sudden</x:v>
      </x:c>
      <x:c r="E1411" s="99" t="str">
        <x:v>/ˈsʌdn/</x:v>
      </x:c>
      <x:c r="F1411" s="99" t="str">
        <x:v>突然的</x:v>
      </x:c>
      <x:c r="G1411" s="99" t="str">
        <x:v>32. sudden /ˈsʌdn/ 突然的</x:v>
      </x:c>
    </x:row>
    <x:row r="1412" ht="18" customHeight="1">
      <x:c r="A1412" s="99" t="str">
        <x:v>S</x:v>
      </x:c>
      <x:c r="B1412" s="99" t="str">
        <x:v>形容词</x:v>
      </x:c>
      <x:c r="C1412" s="99" t="n">
        <x:v>33</x:v>
      </x:c>
      <x:c r="D1412" s="99" t="str">
        <x:v>sunny</x:v>
      </x:c>
      <x:c r="E1412" s="99" t="str">
        <x:v>/ˈsʌni/</x:v>
      </x:c>
      <x:c r="F1412" s="99" t="str">
        <x:v>晴朗的；阳光充足的</x:v>
      </x:c>
      <x:c r="G1412" s="99" t="str">
        <x:v>33. sunny /ˈsʌni/ 晴朗的；阳光充足的</x:v>
      </x:c>
    </x:row>
    <x:row r="1413" ht="18" customHeight="1">
      <x:c r="A1413" s="99" t="str">
        <x:v>S</x:v>
      </x:c>
      <x:c r="B1413" s="99" t="str">
        <x:v>形容词</x:v>
      </x:c>
      <x:c r="C1413" s="99" t="n">
        <x:v>34</x:v>
      </x:c>
      <x:c r="D1413" s="99" t="str">
        <x:v>sure</x:v>
      </x:c>
      <x:c r="E1413" s="99" t="str">
        <x:v>/ʃʊə(r)/</x:v>
      </x:c>
      <x:c r="F1413" s="99" t="str">
        <x:v>确信的；肯定的</x:v>
      </x:c>
      <x:c r="G1413" s="99" t="str">
        <x:v>34. sure /ʃʊə(r)/ 确信的；肯定的</x:v>
      </x:c>
    </x:row>
    <x:row r="1414" ht="18" customHeight="1">
      <x:c r="A1414" s="99" t="str">
        <x:v>S</x:v>
      </x:c>
      <x:c r="B1414" s="99" t="str">
        <x:v>形容词</x:v>
      </x:c>
      <x:c r="C1414" s="99" t="n">
        <x:v>35</x:v>
      </x:c>
      <x:c r="D1414" s="99" t="str">
        <x:v>sweet</x:v>
      </x:c>
      <x:c r="E1414" s="99" t="str">
        <x:v>/swiːt/</x:v>
      </x:c>
      <x:c r="F1414" s="99" t="str">
        <x:v>甜的；可爱的</x:v>
      </x:c>
      <x:c r="G1414" s="99" t="str">
        <x:v>35. sweet /swiːt/ 甜的；可爱的</x:v>
      </x:c>
    </x:row>
    <x:row r="1415" ht="18" customHeight="1">
      <x:c r="A1415" s="99" t="str">
        <x:v>S</x:v>
      </x:c>
      <x:c r="B1415" s="99" t="str">
        <x:v>形容词</x:v>
      </x:c>
      <x:c r="C1415" s="99" t="n">
        <x:v>36</x:v>
      </x:c>
      <x:c r="D1415" s="99" t="str">
        <x:v>social</x:v>
      </x:c>
      <x:c r="E1415" s="99" t="str">
        <x:v>/ˈsəʊʃl/</x:v>
      </x:c>
      <x:c r="F1415" s="99" t="str">
        <x:v>社会的；社交的</x:v>
      </x:c>
      <x:c r="G1415" s="99" t="str">
        <x:v>36. social /ˈsəʊʃl/ 社会的；社交的</x:v>
      </x:c>
    </x:row>
    <x:row r="1416" ht="18" customHeight="1">
      <x:c r="A1416" s="99" t="str">
        <x:v>S</x:v>
      </x:c>
      <x:c r="B1416" s="99" t="str">
        <x:v>副词</x:v>
      </x:c>
      <x:c r="C1416" s="99" t="n">
        <x:v>1</x:v>
      </x:c>
      <x:c r="D1416" s="99" t="str">
        <x:v>sometimes</x:v>
      </x:c>
      <x:c r="E1416" s="99" t="str">
        <x:v>/ˈsʌmtaɪmz/</x:v>
      </x:c>
      <x:c r="F1416" s="99" t="str">
        <x:v>有时；不时</x:v>
      </x:c>
      <x:c r="G1416" s="99" t="str">
        <x:v>1. sometimes /ˈsʌmtaɪmz/ 有时；不时</x:v>
      </x:c>
    </x:row>
    <x:row r="1417" ht="18" customHeight="1">
      <x:c r="A1417" s="99" t="str">
        <x:v>S</x:v>
      </x:c>
      <x:c r="B1417" s="99" t="str">
        <x:v>副词</x:v>
      </x:c>
      <x:c r="C1417" s="99" t="n">
        <x:v>2</x:v>
      </x:c>
      <x:c r="D1417" s="99" t="str">
        <x:v>soon</x:v>
      </x:c>
      <x:c r="E1417" s="99" t="str">
        <x:v>/suːn/</x:v>
      </x:c>
      <x:c r="F1417" s="99" t="str">
        <x:v>不久；很快</x:v>
      </x:c>
      <x:c r="G1417" s="99" t="str">
        <x:v>2. soon /suːn/ 不久；很快</x:v>
      </x:c>
    </x:row>
    <x:row r="1418" ht="18" customHeight="1">
      <x:c r="A1418" s="99" t="str">
        <x:v>S</x:v>
      </x:c>
      <x:c r="B1418" s="99" t="str">
        <x:v>副词</x:v>
      </x:c>
      <x:c r="C1418" s="99" t="n">
        <x:v>3</x:v>
      </x:c>
      <x:c r="D1418" s="99" t="str">
        <x:v>still</x:v>
      </x:c>
      <x:c r="E1418" s="99" t="str">
        <x:v>/stɪl/</x:v>
      </x:c>
      <x:c r="F1418" s="99" t="str">
        <x:v>仍然；依旧</x:v>
      </x:c>
      <x:c r="G1418" s="99" t="str">
        <x:v>3. still /stɪl/ 仍然；依旧</x:v>
      </x:c>
    </x:row>
    <x:row r="1419" ht="18" customHeight="1">
      <x:c r="A1419" s="99" t="str">
        <x:v>S</x:v>
      </x:c>
      <x:c r="B1419" s="99" t="str">
        <x:v>副词</x:v>
      </x:c>
      <x:c r="C1419" s="99" t="n">
        <x:v>4</x:v>
      </x:c>
      <x:c r="D1419" s="99" t="str">
        <x:v>straight</x:v>
      </x:c>
      <x:c r="E1419" s="99" t="str">
        <x:v>/streɪt/</x:v>
      </x:c>
      <x:c r="F1419" s="99" t="str">
        <x:v>直地；笔直地</x:v>
      </x:c>
      <x:c r="G1419" s="99" t="str">
        <x:v>4. straight /streɪt/ 直地；笔直地</x:v>
      </x:c>
    </x:row>
    <x:row r="1420" ht="18" customHeight="1">
      <x:c r="A1420" s="99" t="str">
        <x:v>S</x:v>
      </x:c>
      <x:c r="B1420" s="99" t="str">
        <x:v>副词</x:v>
      </x:c>
      <x:c r="C1420" s="99" t="n">
        <x:v>5</x:v>
      </x:c>
      <x:c r="D1420" s="99" t="str">
        <x:v>suddenly</x:v>
      </x:c>
      <x:c r="E1420" s="99" t="str">
        <x:v>/ˈsʌdənli/</x:v>
      </x:c>
      <x:c r="F1420" s="99" t="str">
        <x:v>突然地</x:v>
      </x:c>
      <x:c r="G1420" s="99" t="str">
        <x:v>5. suddenly /ˈsʌdənli/ 突然地</x:v>
      </x:c>
    </x:row>
    <x:row r="1421" ht="18" customHeight="1">
      <x:c r="A1421" s="99" t="str">
        <x:v>S</x:v>
      </x:c>
      <x:c r="B1421" s="99" t="str">
        <x:v>副词</x:v>
      </x:c>
      <x:c r="C1421" s="99" t="n">
        <x:v>6</x:v>
      </x:c>
      <x:c r="D1421" s="99" t="str">
        <x:v>soon</x:v>
      </x:c>
      <x:c r="E1421" s="99" t="str">
        <x:v>/suːn/</x:v>
      </x:c>
      <x:c r="F1421" s="99" t="str">
        <x:v>不久；很快</x:v>
      </x:c>
      <x:c r="G1421" s="99" t="str">
        <x:v>6. soon /suːn/ 不久；很快</x:v>
      </x:c>
    </x:row>
    <x:row r="1422" ht="18" customHeight="1">
      <x:c r="A1422" s="99" t="str">
        <x:v>S</x:v>
      </x:c>
      <x:c r="B1422" s="99" t="str">
        <x:v>副词</x:v>
      </x:c>
      <x:c r="C1422" s="99" t="n">
        <x:v>7</x:v>
      </x:c>
      <x:c r="D1422" s="99" t="str">
        <x:v>slowly</x:v>
      </x:c>
      <x:c r="E1422" s="99" t="str">
        <x:v>/ˈsləʊli/</x:v>
      </x:c>
      <x:c r="F1422" s="99" t="str">
        <x:v>缓慢地</x:v>
      </x:c>
      <x:c r="G1422" s="99" t="str">
        <x:v>7. slowly /ˈsləʊli/ 缓慢地</x:v>
      </x:c>
    </x:row>
    <x:row r="1423" ht="18" customHeight="1">
      <x:c r="A1423" s="99" t="str">
        <x:v>S</x:v>
      </x:c>
      <x:c r="B1423" s="99" t="str">
        <x:v>代词</x:v>
      </x:c>
      <x:c r="C1423" s="99" t="n">
        <x:v>1</x:v>
      </x:c>
      <x:c r="D1423" s="99" t="str">
        <x:v>she</x:v>
      </x:c>
      <x:c r="E1423" s="99" t="str">
        <x:v>/ʃiː/</x:v>
      </x:c>
      <x:c r="F1423" s="99" t="str">
        <x:v>她</x:v>
      </x:c>
      <x:c r="G1423" s="99" t="str">
        <x:v>1. she /ʃiː/ 她</x:v>
      </x:c>
    </x:row>
    <x:row r="1424" ht="18" customHeight="1">
      <x:c r="A1424" s="99" t="str">
        <x:v>S</x:v>
      </x:c>
      <x:c r="B1424" s="99" t="str">
        <x:v>代词</x:v>
      </x:c>
      <x:c r="C1424" s="99" t="n">
        <x:v>2</x:v>
      </x:c>
      <x:c r="D1424" s="99" t="str">
        <x:v>herself</x:v>
      </x:c>
      <x:c r="E1424" s="99" t="str">
        <x:v>/hɜːˈself/</x:v>
      </x:c>
      <x:c r="F1424" s="99" t="str">
        <x:v>她自己</x:v>
      </x:c>
      <x:c r="G1424" s="99" t="str">
        <x:v>2. herself /hɜːˈself/ 她自己</x:v>
      </x:c>
    </x:row>
    <x:row r="1425" ht="18" customHeight="1">
      <x:c r="A1425" s="99" t="str">
        <x:v>S</x:v>
      </x:c>
      <x:c r="B1425" s="99" t="str">
        <x:v>代词</x:v>
      </x:c>
      <x:c r="C1425" s="99" t="n">
        <x:v>3</x:v>
      </x:c>
      <x:c r="D1425" s="99" t="str">
        <x:v>some</x:v>
      </x:c>
      <x:c r="E1425" s="99" t="str">
        <x:v>/sʌm/</x:v>
      </x:c>
      <x:c r="F1425" s="99" t="str">
        <x:v>一些；某些</x:v>
      </x:c>
      <x:c r="G1425" s="99" t="str">
        <x:v>3. some /sʌm/ 一些；某些</x:v>
      </x:c>
    </x:row>
    <x:row r="1426" ht="18" customHeight="1">
      <x:c r="A1426" s="99" t="str">
        <x:v>S</x:v>
      </x:c>
      <x:c r="B1426" s="99" t="str">
        <x:v>代词</x:v>
      </x:c>
      <x:c r="C1426" s="99" t="n">
        <x:v>4</x:v>
      </x:c>
      <x:c r="D1426" s="99" t="str">
        <x:v>someone</x:v>
      </x:c>
      <x:c r="E1426" s="99" t="str">
        <x:v>/ˈsʌmwʌn/</x:v>
      </x:c>
      <x:c r="F1426" s="99" t="str">
        <x:v>某人；有人</x:v>
      </x:c>
      <x:c r="G1426" s="99" t="str">
        <x:v>4. someone /ˈsʌmwʌn/ 某人；有人</x:v>
      </x:c>
    </x:row>
    <x:row r="1427" ht="18" customHeight="1">
      <x:c r="A1427" s="99" t="str">
        <x:v>S</x:v>
      </x:c>
      <x:c r="B1427" s="99" t="str">
        <x:v>代词</x:v>
      </x:c>
      <x:c r="C1427" s="99" t="n">
        <x:v>5</x:v>
      </x:c>
      <x:c r="D1427" s="99" t="str">
        <x:v>something</x:v>
      </x:c>
      <x:c r="E1427" s="99" t="str">
        <x:v>/ˈsʌmθɪŋ/</x:v>
      </x:c>
      <x:c r="F1427" s="99" t="str">
        <x:v>某事；某物</x:v>
      </x:c>
      <x:c r="G1427" s="99" t="str">
        <x:v>5. something /ˈsʌmθɪŋ/ 某事；某物</x:v>
      </x:c>
    </x:row>
    <x:row r="1428" ht="18" customHeight="1">
      <x:c r="A1428" s="99" t="str">
        <x:v>S</x:v>
      </x:c>
      <x:c r="B1428" s="99" t="str">
        <x:v>代词</x:v>
      </x:c>
      <x:c r="C1428" s="99" t="n">
        <x:v>6</x:v>
      </x:c>
      <x:c r="D1428" s="99" t="str">
        <x:v>somewhere</x:v>
      </x:c>
      <x:c r="E1428" s="99" t="str">
        <x:v>/ˈsʌmweə(r)/</x:v>
      </x:c>
      <x:c r="F1428" s="99" t="str">
        <x:v>某处；某地</x:v>
      </x:c>
      <x:c r="G1428" s="99" t="str">
        <x:v>6. somewhere /ˈsʌmweə(r)/ 某处；某地</x:v>
      </x:c>
    </x:row>
    <x:row r="1429" ht="18" customHeight="1">
      <x:c r="A1429" s="99" t="str">
        <x:v>S</x:v>
      </x:c>
      <x:c r="B1429" s="99" t="str">
        <x:v>代词</x:v>
      </x:c>
      <x:c r="C1429" s="99" t="n">
        <x:v>7</x:v>
      </x:c>
      <x:c r="D1429" s="99" t="str">
        <x:v>such</x:v>
      </x:c>
      <x:c r="E1429" s="99" t="str">
        <x:v>/sʌtʃ/</x:v>
      </x:c>
      <x:c r="F1429" s="99" t="str">
        <x:v>这样的；那样的</x:v>
      </x:c>
      <x:c r="G1429" s="99" t="str">
        <x:v>7. such /sʌtʃ/ 这样的；那样的</x:v>
      </x:c>
    </x:row>
    <x:row r="1430" ht="18" customHeight="1">
      <x:c r="A1430" s="99" t="str">
        <x:v>S</x:v>
      </x:c>
      <x:c r="B1430" s="99" t="str">
        <x:v>介词</x:v>
      </x:c>
      <x:c r="C1430" s="99" t="n">
        <x:v>1</x:v>
      </x:c>
      <x:c r="D1430" s="99" t="str">
        <x:v>since</x:v>
      </x:c>
      <x:c r="E1430" s="99" t="str">
        <x:v>/sɪns/</x:v>
      </x:c>
      <x:c r="F1430" s="99" t="str">
        <x:v>自……以来；从……以后</x:v>
      </x:c>
      <x:c r="G1430" s="99" t="str">
        <x:v>1. since /sɪns/ 自……以来；从……以后</x:v>
      </x:c>
    </x:row>
    <x:row r="1431" ht="18" customHeight="1">
      <x:c r="A1431" s="99" t="str">
        <x:v>S</x:v>
      </x:c>
      <x:c r="B1431" s="99" t="str">
        <x:v>数词</x:v>
      </x:c>
      <x:c r="C1431" s="99" t="n">
        <x:v>1</x:v>
      </x:c>
      <x:c r="D1431" s="99" t="str">
        <x:v>seven</x:v>
      </x:c>
      <x:c r="E1431" s="99" t="str">
        <x:v>/ˈsevn/</x:v>
      </x:c>
      <x:c r="F1431" s="99" t="str">
        <x:v>七</x:v>
      </x:c>
      <x:c r="G1431" s="99" t="str">
        <x:v>1. seven /ˈsevn/ 七</x:v>
      </x:c>
    </x:row>
    <x:row r="1432" ht="18" customHeight="1">
      <x:c r="A1432" s="99" t="str">
        <x:v>S</x:v>
      </x:c>
      <x:c r="B1432" s="99" t="str">
        <x:v>数词</x:v>
      </x:c>
      <x:c r="C1432" s="99" t="n">
        <x:v>2</x:v>
      </x:c>
      <x:c r="D1432" s="99" t="str">
        <x:v>seventeen</x:v>
      </x:c>
      <x:c r="E1432" s="99" t="str">
        <x:v>/ˌsevnˈtiːn/</x:v>
      </x:c>
      <x:c r="F1432" s="99" t="str">
        <x:v>十七</x:v>
      </x:c>
      <x:c r="G1432" s="99" t="str">
        <x:v>2. seventeen /ˌsevnˈtiːn/ 十七</x:v>
      </x:c>
    </x:row>
    <x:row r="1433" ht="18" customHeight="1">
      <x:c r="A1433" s="99" t="str">
        <x:v>S</x:v>
      </x:c>
      <x:c r="B1433" s="99" t="str">
        <x:v>数词</x:v>
      </x:c>
      <x:c r="C1433" s="99" t="n">
        <x:v>3</x:v>
      </x:c>
      <x:c r="D1433" s="99" t="str">
        <x:v>seventy</x:v>
      </x:c>
      <x:c r="E1433" s="99" t="str">
        <x:v>/ˈsevnti/</x:v>
      </x:c>
      <x:c r="F1433" s="99" t="str">
        <x:v>七十</x:v>
      </x:c>
      <x:c r="G1433" s="99" t="str">
        <x:v>3. seventy /ˈsevnti/ 七十</x:v>
      </x:c>
    </x:row>
    <x:row r="1434" ht="18" customHeight="1">
      <x:c r="A1434" s="99" t="str">
        <x:v>S</x:v>
      </x:c>
      <x:c r="B1434" s="99" t="str">
        <x:v>数词</x:v>
      </x:c>
      <x:c r="C1434" s="99" t="n">
        <x:v>4</x:v>
      </x:c>
      <x:c r="D1434" s="99" t="str">
        <x:v>sixth</x:v>
      </x:c>
      <x:c r="E1434" s="99" t="str">
        <x:v>/sɪksθ/</x:v>
      </x:c>
      <x:c r="F1434" s="99" t="str">
        <x:v>第六</x:v>
      </x:c>
      <x:c r="G1434" s="99" t="str">
        <x:v>4. sixth /sɪksθ/ 第六</x:v>
      </x:c>
    </x:row>
    <x:row r="1435" ht="18" customHeight="1">
      <x:c r="A1435" s="99" t="str">
        <x:v>S</x:v>
      </x:c>
      <x:c r="B1435" s="99" t="str">
        <x:v>数词</x:v>
      </x:c>
      <x:c r="C1435" s="99" t="n">
        <x:v>5</x:v>
      </x:c>
      <x:c r="D1435" s="99" t="str">
        <x:v>sixteen</x:v>
      </x:c>
      <x:c r="E1435" s="99" t="str">
        <x:v>/ˌsɪksˈtiːn/</x:v>
      </x:c>
      <x:c r="F1435" s="99" t="str">
        <x:v>十六</x:v>
      </x:c>
      <x:c r="G1435" s="99" t="str">
        <x:v>5. sixteen /ˌsɪksˈtiːn/ 十六</x:v>
      </x:c>
    </x:row>
    <x:row r="1436" ht="18" customHeight="1">
      <x:c r="A1436" s="99" t="str">
        <x:v>S</x:v>
      </x:c>
      <x:c r="B1436" s="99" t="str">
        <x:v>数词</x:v>
      </x:c>
      <x:c r="C1436" s="99" t="n">
        <x:v>6</x:v>
      </x:c>
      <x:c r="D1436" s="99" t="str">
        <x:v>sixty</x:v>
      </x:c>
      <x:c r="E1436" s="99" t="str">
        <x:v>/ˈsɪksti/</x:v>
      </x:c>
      <x:c r="F1436" s="99" t="str">
        <x:v>六十</x:v>
      </x:c>
      <x:c r="G1436" s="99" t="str">
        <x:v>6. sixty /ˈsɪksti/ 六十</x:v>
      </x:c>
    </x:row>
    <x:row r="1437" ht="18" customHeight="1">
      <x:c r="A1437" s="99" t="str">
        <x:v>S</x:v>
      </x:c>
      <x:c r="B1437" s="99" t="str">
        <x:v>感叹词</x:v>
      </x:c>
      <x:c r="C1437" s="99" t="n">
        <x:v>1</x:v>
      </x:c>
      <x:c r="D1437" s="99" t="str">
        <x:v>see</x:v>
      </x:c>
      <x:c r="E1437" s="99" t="str">
        <x:v>/siː/</x:v>
      </x:c>
      <x:c r="F1437" s="99" t="str">
        <x:v>（口语）明白；知道</x:v>
      </x:c>
      <x:c r="G1437" s="99" t="str">
        <x:v>1. see /siː/ （口语）明白；知道</x:v>
      </x:c>
    </x:row>
    <x:row r="1438" ht="18" customHeight="1">
      <x:c r="A1438" s="99" t="str">
        <x:v>S</x:v>
      </x:c>
      <x:c r="B1438" s="99" t="str">
        <x:v>感叹词</x:v>
      </x:c>
      <x:c r="C1438" s="99" t="n">
        <x:v>2</x:v>
      </x:c>
      <x:c r="D1438" s="99" t="str">
        <x:v>sure</x:v>
      </x:c>
      <x:c r="E1438" s="99" t="str">
        <x:v>/ʃʊə(r)/</x:v>
      </x:c>
      <x:c r="F1438" s="99" t="str">
        <x:v>当然；行</x:v>
      </x:c>
      <x:c r="G1438" s="99" t="str">
        <x:v>2. sure /ʃʊə(r)/ 当然；行</x:v>
      </x:c>
    </x:row>
    <x:row r="1439" ht="18" customHeight="1">
      <x:c r="A1439" s="99" t="str">
        <x:v>S</x:v>
      </x:c>
      <x:c r="B1439" s="99" t="str">
        <x:v>短语</x:v>
      </x:c>
      <x:c r="C1439" s="99" t="n">
        <x:v>1</x:v>
      </x:c>
      <x:c r="D1439" s="99" t="str">
        <x:v>be</x:v>
      </x:c>
      <x:c r="E1439" s="99" t="str"/>
      <x:c r="F1439" s="99" t="str">
        <x:v>good at 擅长</x:v>
      </x:c>
      <x:c r="G1439" s="99" t="str">
        <x:v>1. be good at 擅长</x:v>
      </x:c>
    </x:row>
    <x:row r="1440" ht="18" customHeight="1">
      <x:c r="A1440" s="99" t="str">
        <x:v>S</x:v>
      </x:c>
      <x:c r="B1440" s="99" t="str">
        <x:v>短语</x:v>
      </x:c>
      <x:c r="C1440" s="99" t="n">
        <x:v>2</x:v>
      </x:c>
      <x:c r="D1440" s="99" t="str">
        <x:v>be</x:v>
      </x:c>
      <x:c r="E1440" s="99" t="str"/>
      <x:c r="F1440" s="99" t="str">
        <x:v>proud of 为……而自豪</x:v>
      </x:c>
      <x:c r="G1440" s="99" t="str">
        <x:v>2. be proud of 为……而自豪</x:v>
      </x:c>
    </x:row>
    <x:row r="1441" ht="18" customHeight="1">
      <x:c r="A1441" s="99" t="str">
        <x:v>S</x:v>
      </x:c>
      <x:c r="B1441" s="99" t="str">
        <x:v>短语</x:v>
      </x:c>
      <x:c r="C1441" s="99" t="n">
        <x:v>3</x:v>
      </x:c>
      <x:c r="D1441" s="99" t="str">
        <x:v>go</x:v>
      </x:c>
      <x:c r="E1441" s="99" t="str"/>
      <x:c r="F1441" s="99" t="str">
        <x:v>shopping 去买东西；去购物</x:v>
      </x:c>
      <x:c r="G1441" s="99" t="str">
        <x:v>3. go shopping 去买东西；去购物</x:v>
      </x:c>
    </x:row>
    <x:row r="1442" ht="18" customHeight="1">
      <x:c r="A1442" s="99" t="str">
        <x:v>S</x:v>
      </x:c>
      <x:c r="B1442" s="99" t="str">
        <x:v>短语</x:v>
      </x:c>
      <x:c r="C1442" s="99" t="n">
        <x:v>4</x:v>
      </x:c>
      <x:c r="D1442" s="99" t="str">
        <x:v>in</x:v>
      </x:c>
      <x:c r="E1442" s="99" t="str"/>
      <x:c r="F1442" s="99" t="str">
        <x:v>silence 安静地；沉默地</x:v>
      </x:c>
      <x:c r="G1442" s="99" t="str">
        <x:v>4. in silence 安静地；沉默地</x:v>
      </x:c>
    </x:row>
    <x:row r="1443" ht="18" customHeight="1">
      <x:c r="A1443" s="99" t="str">
        <x:v>S</x:v>
      </x:c>
      <x:c r="B1443" s="99" t="str">
        <x:v>短语</x:v>
      </x:c>
      <x:c r="C1443" s="99" t="n">
        <x:v>5</x:v>
      </x:c>
      <x:c r="D1443" s="99" t="str">
        <x:v>in</x:v>
      </x:c>
      <x:c r="E1443" s="99" t="str"/>
      <x:c r="F1443" s="99" t="str">
        <x:v>surprise 惊奇地；惊讶地</x:v>
      </x:c>
      <x:c r="G1443" s="99" t="str">
        <x:v>5. in surprise 惊奇地；惊讶地</x:v>
      </x:c>
    </x:row>
    <x:row r="1444" ht="18" customHeight="1">
      <x:c r="A1444" s="99" t="str">
        <x:v>S</x:v>
      </x:c>
      <x:c r="B1444" s="99" t="str">
        <x:v>短语</x:v>
      </x:c>
      <x:c r="C1444" s="99" t="n">
        <x:v>6</x:v>
      </x:c>
      <x:c r="D1444" s="99" t="str">
        <x:v>keep</x:v>
      </x:c>
      <x:c r="E1444" s="99" t="str"/>
      <x:c r="F1444" s="99" t="str">
        <x:v>in touch (with sb.) 保持联系</x:v>
      </x:c>
      <x:c r="G1444" s="99" t="str">
        <x:v>6. keep in touch (with sb.) 保持联系</x:v>
      </x:c>
    </x:row>
    <x:row r="1445" ht="18" customHeight="1">
      <x:c r="A1445" s="99" t="str">
        <x:v>S</x:v>
      </x:c>
      <x:c r="B1445" s="99" t="str">
        <x:v>短语</x:v>
      </x:c>
      <x:c r="C1445" s="99" t="n">
        <x:v>7</x:v>
      </x:c>
      <x:c r="D1445" s="99" t="str">
        <x:v>shake</x:v>
      </x:c>
      <x:c r="E1445" s="99" t="str"/>
      <x:c r="F1445" s="99" t="str">
        <x:v>hands 握手</x:v>
      </x:c>
      <x:c r="G1445" s="99" t="str">
        <x:v>7. shake hands 握手</x:v>
      </x:c>
    </x:row>
    <x:row r="1446" ht="18" customHeight="1">
      <x:c r="A1446" s="99" t="str">
        <x:v>S</x:v>
      </x:c>
      <x:c r="B1446" s="99" t="str">
        <x:v>短语</x:v>
      </x:c>
      <x:c r="C1446" s="99" t="n">
        <x:v>8</x:v>
      </x:c>
      <x:c r="D1446" s="99" t="str">
        <x:v>side</x:v>
      </x:c>
      <x:c r="E1446" s="99" t="str"/>
      <x:c r="F1446" s="99" t="str">
        <x:v>by side 并排地；肩并肩地</x:v>
      </x:c>
      <x:c r="G1446" s="99" t="str">
        <x:v>8. side by side 并排地；肩并肩地</x:v>
      </x:c>
    </x:row>
    <x:row r="1447" ht="18" customHeight="1">
      <x:c r="A1447" s="99" t="str">
        <x:v>S</x:v>
      </x:c>
      <x:c r="B1447" s="99" t="str">
        <x:v>短语</x:v>
      </x:c>
      <x:c r="C1447" s="99" t="n">
        <x:v>9</x:v>
      </x:c>
      <x:c r="D1447" s="99" t="str">
        <x:v>solar</x:v>
      </x:c>
      <x:c r="E1447" s="99" t="str"/>
      <x:c r="F1447" s="99" t="str">
        <x:v>system 太阳系</x:v>
      </x:c>
      <x:c r="G1447" s="99" t="str">
        <x:v>9. solar system 太阳系</x:v>
      </x:c>
    </x:row>
    <x:row r="1448" ht="18" customHeight="1">
      <x:c r="A1448" s="99" t="str">
        <x:v>S</x:v>
      </x:c>
      <x:c r="B1448" s="99" t="str">
        <x:v>短语</x:v>
      </x:c>
      <x:c r="C1448" s="99" t="n">
        <x:v>10</x:v>
      </x:c>
      <x:c r="D1448" s="99" t="str">
        <x:v>speak</x:v>
      </x:c>
      <x:c r="E1448" s="99" t="str"/>
      <x:c r="F1448" s="99" t="str">
        <x:v>up 大声说出来</x:v>
      </x:c>
      <x:c r="G1448" s="99" t="str">
        <x:v>10. speak up 大声说出来</x:v>
      </x:c>
    </x:row>
    <x:row r="1449" ht="18" customHeight="1">
      <x:c r="A1449" s="99" t="str">
        <x:v>S</x:v>
      </x:c>
      <x:c r="B1449" s="99" t="str">
        <x:v>短语</x:v>
      </x:c>
      <x:c r="C1449" s="99" t="n">
        <x:v>11</x:v>
      </x:c>
      <x:c r="D1449" s="99" t="str">
        <x:v>stand</x:v>
      </x:c>
      <x:c r="E1449" s="99" t="str"/>
      <x:c r="F1449" s="99" t="str">
        <x:v>up 起立；站起来</x:v>
      </x:c>
      <x:c r="G1449" s="99" t="str">
        <x:v>11. stand up 起立；站起来</x:v>
      </x:c>
    </x:row>
    <x:row r="1450" ht="18" customHeight="1">
      <x:c r="A1450" s="99" t="str">
        <x:v>S</x:v>
      </x:c>
      <x:c r="B1450" s="99" t="str">
        <x:v>短语</x:v>
      </x:c>
      <x:c r="C1450" s="99" t="n">
        <x:v>12</x:v>
      </x:c>
      <x:c r="D1450" s="99" t="str">
        <x:v>stay</x:v>
      </x:c>
      <x:c r="E1450" s="99" t="str"/>
      <x:c r="F1450" s="99" t="str">
        <x:v>in touch (with sb.) 保持联系</x:v>
      </x:c>
      <x:c r="G1450" s="99" t="str">
        <x:v>12. stay in touch (with sb.) 保持联系</x:v>
      </x:c>
    </x:row>
    <x:row r="1451" ht="18" customHeight="1">
      <x:c r="A1451" s="99" t="str">
        <x:v>S</x:v>
      </x:c>
      <x:c r="B1451" s="99" t="str">
        <x:v>短语</x:v>
      </x:c>
      <x:c r="C1451" s="99" t="n">
        <x:v>13</x:v>
      </x:c>
      <x:c r="D1451" s="99" t="str">
        <x:v>such</x:v>
      </x:c>
      <x:c r="E1451" s="99" t="str"/>
      <x:c r="F1451" s="99" t="str">
        <x:v>as 例如；比如</x:v>
      </x:c>
      <x:c r="G1451" s="99" t="str">
        <x:v>13. such as 例如；比如</x:v>
      </x:c>
    </x:row>
    <x:row r="1452" ht="18" customHeight="1">
      <x:c r="A1452" s="99" t="str">
        <x:v>S</x:v>
      </x:c>
      <x:c r="B1452" s="99" t="str">
        <x:v>短语</x:v>
      </x:c>
      <x:c r="C1452" s="99" t="n">
        <x:v>14</x:v>
      </x:c>
      <x:c r="D1452" s="99" t="str">
        <x:v>do</x:v>
      </x:c>
      <x:c r="E1452" s="99" t="str"/>
      <x:c r="F1452" s="99" t="str">
        <x:v>some shopping 购物</x:v>
      </x:c>
      <x:c r="G1452" s="99" t="str">
        <x:v>14. do some shopping 购物</x:v>
      </x:c>
    </x:row>
    <x:row r="1453" ht="18" customHeight="1">
      <x:c r="A1453" s="99" t="str">
        <x:v>T</x:v>
      </x:c>
      <x:c r="B1453" s="99" t="str">
        <x:v>名词</x:v>
      </x:c>
      <x:c r="C1453" s="99" t="n">
        <x:v>1</x:v>
      </x:c>
      <x:c r="D1453" s="99" t="str">
        <x:v>table</x:v>
      </x:c>
      <x:c r="E1453" s="99" t="str">
        <x:v>/ˈteɪbl/</x:v>
      </x:c>
      <x:c r="F1453" s="99" t="str">
        <x:v>桌子；餐桌</x:v>
      </x:c>
      <x:c r="G1453" s="99" t="str">
        <x:v>1. table /ˈteɪbl/ 桌子；餐桌</x:v>
      </x:c>
    </x:row>
    <x:row r="1454" ht="18" customHeight="1">
      <x:c r="A1454" s="99" t="str">
        <x:v>T</x:v>
      </x:c>
      <x:c r="B1454" s="99" t="str">
        <x:v>名词</x:v>
      </x:c>
      <x:c r="C1454" s="99" t="n">
        <x:v>2</x:v>
      </x:c>
      <x:c r="D1454" s="99" t="str">
        <x:v>tail</x:v>
      </x:c>
      <x:c r="E1454" s="99" t="str">
        <x:v>/teɪl/</x:v>
      </x:c>
      <x:c r="F1454" s="99" t="str">
        <x:v>尾巴</x:v>
      </x:c>
      <x:c r="G1454" s="99" t="str">
        <x:v>2. tail /teɪl/ 尾巴</x:v>
      </x:c>
    </x:row>
    <x:row r="1455" ht="18" customHeight="1">
      <x:c r="A1455" s="99" t="str">
        <x:v>T</x:v>
      </x:c>
      <x:c r="B1455" s="99" t="str">
        <x:v>名词</x:v>
      </x:c>
      <x:c r="C1455" s="99" t="n">
        <x:v>3</x:v>
      </x:c>
      <x:c r="D1455" s="99" t="str">
        <x:v>talk</x:v>
      </x:c>
      <x:c r="E1455" s="99" t="str">
        <x:v>/tɔːk/</x:v>
      </x:c>
      <x:c r="F1455" s="99" t="str">
        <x:v>谈话；交谈</x:v>
      </x:c>
      <x:c r="G1455" s="99" t="str">
        <x:v>3. talk /tɔːk/ 谈话；交谈</x:v>
      </x:c>
    </x:row>
    <x:row r="1456" ht="18" customHeight="1">
      <x:c r="A1456" s="99" t="str">
        <x:v>T</x:v>
      </x:c>
      <x:c r="B1456" s="99" t="str">
        <x:v>名词</x:v>
      </x:c>
      <x:c r="C1456" s="99" t="n">
        <x:v>4</x:v>
      </x:c>
      <x:c r="D1456" s="99" t="str">
        <x:v>task</x:v>
      </x:c>
      <x:c r="E1456" s="99" t="str">
        <x:v>/tɑːsk/</x:v>
      </x:c>
      <x:c r="F1456" s="99" t="str">
        <x:v>任务；工作</x:v>
      </x:c>
      <x:c r="G1456" s="99" t="str">
        <x:v>4. task /tɑːsk/ 任务；工作</x:v>
      </x:c>
    </x:row>
    <x:row r="1457" ht="18" customHeight="1">
      <x:c r="A1457" s="99" t="str">
        <x:v>T</x:v>
      </x:c>
      <x:c r="B1457" s="99" t="str">
        <x:v>名词</x:v>
      </x:c>
      <x:c r="C1457" s="99" t="n">
        <x:v>5</x:v>
      </x:c>
      <x:c r="D1457" s="99" t="str">
        <x:v>taste</x:v>
      </x:c>
      <x:c r="E1457" s="99" t="str">
        <x:v>/teɪst/</x:v>
      </x:c>
      <x:c r="F1457" s="99" t="str">
        <x:v>味道；滋味</x:v>
      </x:c>
      <x:c r="G1457" s="99" t="str">
        <x:v>5. taste /teɪst/ 味道；滋味</x:v>
      </x:c>
    </x:row>
    <x:row r="1458" ht="18" customHeight="1">
      <x:c r="A1458" s="99" t="str">
        <x:v>T</x:v>
      </x:c>
      <x:c r="B1458" s="99" t="str">
        <x:v>名词</x:v>
      </x:c>
      <x:c r="C1458" s="99" t="n">
        <x:v>6</x:v>
      </x:c>
      <x:c r="D1458" s="99" t="str">
        <x:v>taxi</x:v>
      </x:c>
      <x:c r="E1458" s="99" t="str">
        <x:v>/ˈtæksi/</x:v>
      </x:c>
      <x:c r="F1458" s="99" t="str">
        <x:v>出租车</x:v>
      </x:c>
      <x:c r="G1458" s="99" t="str">
        <x:v>6. taxi /ˈtæksi/ 出租车</x:v>
      </x:c>
    </x:row>
    <x:row r="1459" ht="18" customHeight="1">
      <x:c r="A1459" s="99" t="str">
        <x:v>T</x:v>
      </x:c>
      <x:c r="B1459" s="99" t="str">
        <x:v>名词</x:v>
      </x:c>
      <x:c r="C1459" s="99" t="n">
        <x:v>7</x:v>
      </x:c>
      <x:c r="D1459" s="99" t="str">
        <x:v>tea</x:v>
      </x:c>
      <x:c r="E1459" s="99" t="str">
        <x:v>/tiː/</x:v>
      </x:c>
      <x:c r="F1459" s="99" t="str">
        <x:v>茶；茶叶</x:v>
      </x:c>
      <x:c r="G1459" s="99" t="str">
        <x:v>7. tea /tiː/ 茶；茶叶</x:v>
      </x:c>
    </x:row>
    <x:row r="1460" ht="18" customHeight="1">
      <x:c r="A1460" s="99" t="str">
        <x:v>T</x:v>
      </x:c>
      <x:c r="B1460" s="99" t="str">
        <x:v>名词</x:v>
      </x:c>
      <x:c r="C1460" s="99" t="n">
        <x:v>8</x:v>
      </x:c>
      <x:c r="D1460" s="99" t="str">
        <x:v>teacher</x:v>
      </x:c>
      <x:c r="E1460" s="99" t="str">
        <x:v>/ˈtiːtʃə/</x:v>
      </x:c>
      <x:c r="F1460" s="99" t="str">
        <x:v>老师；教师</x:v>
      </x:c>
      <x:c r="G1460" s="99" t="str">
        <x:v>8. teacher /ˈtiːtʃə/ 老师；教师</x:v>
      </x:c>
    </x:row>
    <x:row r="1461" ht="18" customHeight="1">
      <x:c r="A1461" s="99" t="str">
        <x:v>T</x:v>
      </x:c>
      <x:c r="B1461" s="99" t="str">
        <x:v>名词</x:v>
      </x:c>
      <x:c r="C1461" s="99" t="n">
        <x:v>9</x:v>
      </x:c>
      <x:c r="D1461" s="99" t="str">
        <x:v>team</x:v>
      </x:c>
      <x:c r="E1461" s="99" t="str">
        <x:v>/tiːm/</x:v>
      </x:c>
      <x:c r="F1461" s="99" t="str">
        <x:v>队；球队</x:v>
      </x:c>
      <x:c r="G1461" s="99" t="str">
        <x:v>9. team /tiːm/ 队；球队</x:v>
      </x:c>
    </x:row>
    <x:row r="1462" ht="18" customHeight="1">
      <x:c r="A1462" s="99" t="str">
        <x:v>T</x:v>
      </x:c>
      <x:c r="B1462" s="99" t="str">
        <x:v>名词</x:v>
      </x:c>
      <x:c r="C1462" s="99" t="n">
        <x:v>10</x:v>
      </x:c>
      <x:c r="D1462" s="99" t="str">
        <x:v>technology</x:v>
      </x:c>
      <x:c r="E1462" s="99" t="str">
        <x:v>/tekˈnɒlədʒi/</x:v>
      </x:c>
      <x:c r="F1462" s="99" t="str">
        <x:v>技术；工艺</x:v>
      </x:c>
      <x:c r="G1462" s="99" t="str">
        <x:v>10. technology /tekˈnɒlədʒi/ 技术；工艺</x:v>
      </x:c>
    </x:row>
    <x:row r="1463" ht="18" customHeight="1">
      <x:c r="A1463" s="99" t="str">
        <x:v>T</x:v>
      </x:c>
      <x:c r="B1463" s="99" t="str">
        <x:v>名词</x:v>
      </x:c>
      <x:c r="C1463" s="99" t="n">
        <x:v>11</x:v>
      </x:c>
      <x:c r="D1463" s="99" t="str">
        <x:v>telephone</x:v>
      </x:c>
      <x:c r="E1463" s="99" t="str">
        <x:v>/ˈtelɪfəʊn/</x:v>
      </x:c>
      <x:c r="F1463" s="99" t="str">
        <x:v>电话</x:v>
      </x:c>
      <x:c r="G1463" s="99" t="str">
        <x:v>11. telephone /ˈtelɪfəʊn/ 电话</x:v>
      </x:c>
    </x:row>
    <x:row r="1464" ht="18" customHeight="1">
      <x:c r="A1464" s="99" t="str">
        <x:v>T</x:v>
      </x:c>
      <x:c r="B1464" s="99" t="str">
        <x:v>名词</x:v>
      </x:c>
      <x:c r="C1464" s="99" t="n">
        <x:v>12</x:v>
      </x:c>
      <x:c r="D1464" s="99" t="str">
        <x:v>television</x:v>
      </x:c>
      <x:c r="E1464" s="99" t="str">
        <x:v>/ˈtelɪvɪʒn/</x:v>
      </x:c>
      <x:c r="F1464" s="99" t="str">
        <x:v>电视；电视机</x:v>
      </x:c>
      <x:c r="G1464" s="99" t="str">
        <x:v>12. television /ˈtelɪvɪʒn/ 电视；电视机</x:v>
      </x:c>
    </x:row>
    <x:row r="1465" ht="18" customHeight="1">
      <x:c r="A1465" s="99" t="str">
        <x:v>T</x:v>
      </x:c>
      <x:c r="B1465" s="99" t="str">
        <x:v>名词</x:v>
      </x:c>
      <x:c r="C1465" s="99" t="n">
        <x:v>13</x:v>
      </x:c>
      <x:c r="D1465" s="99" t="str">
        <x:v>temperature</x:v>
      </x:c>
      <x:c r="E1465" s="99" t="str">
        <x:v>/ˈtemprətʃə/</x:v>
      </x:c>
      <x:c r="F1465" s="99" t="str">
        <x:v>温度；气温</x:v>
      </x:c>
      <x:c r="G1465" s="99" t="str">
        <x:v>13. temperature /ˈtemprətʃə/ 温度；气温</x:v>
      </x:c>
    </x:row>
    <x:row r="1466" ht="18" customHeight="1">
      <x:c r="A1466" s="99" t="str">
        <x:v>T</x:v>
      </x:c>
      <x:c r="B1466" s="99" t="str">
        <x:v>名词</x:v>
      </x:c>
      <x:c r="C1466" s="99" t="n">
        <x:v>14</x:v>
      </x:c>
      <x:c r="D1466" s="99" t="str">
        <x:v>tennis</x:v>
      </x:c>
      <x:c r="E1466" s="99" t="str">
        <x:v>/ˈtenɪs/</x:v>
      </x:c>
      <x:c r="F1466" s="99" t="str">
        <x:v>网球</x:v>
      </x:c>
      <x:c r="G1466" s="99" t="str">
        <x:v>14. tennis /ˈtenɪs/ 网球</x:v>
      </x:c>
    </x:row>
    <x:row r="1467" ht="18" customHeight="1">
      <x:c r="A1467" s="99" t="str">
        <x:v>T</x:v>
      </x:c>
      <x:c r="B1467" s="99" t="str">
        <x:v>名词</x:v>
      </x:c>
      <x:c r="C1467" s="99" t="n">
        <x:v>15</x:v>
      </x:c>
      <x:c r="D1467" s="99" t="str">
        <x:v>term</x:v>
      </x:c>
      <x:c r="E1467" s="99" t="str">
        <x:v>/tɜːm/</x:v>
      </x:c>
      <x:c r="F1467" s="99" t="str">
        <x:v>学期；术语</x:v>
      </x:c>
      <x:c r="G1467" s="99" t="str">
        <x:v>15. term /tɜːm/ 学期；术语</x:v>
      </x:c>
    </x:row>
    <x:row r="1468" ht="18" customHeight="1">
      <x:c r="A1468" s="99" t="str">
        <x:v>T</x:v>
      </x:c>
      <x:c r="B1468" s="99" t="str">
        <x:v>名词</x:v>
      </x:c>
      <x:c r="C1468" s="99" t="n">
        <x:v>16</x:v>
      </x:c>
      <x:c r="D1468" s="99" t="str">
        <x:v>test</x:v>
      </x:c>
      <x:c r="E1468" s="99" t="str">
        <x:v>/test/</x:v>
      </x:c>
      <x:c r="F1468" s="99" t="str">
        <x:v>测试；考试</x:v>
      </x:c>
      <x:c r="G1468" s="99" t="str">
        <x:v>16. test /test/ 测试；考试</x:v>
      </x:c>
    </x:row>
    <x:row r="1469" ht="18" customHeight="1">
      <x:c r="A1469" s="99" t="str">
        <x:v>T</x:v>
      </x:c>
      <x:c r="B1469" s="99" t="str">
        <x:v>名词</x:v>
      </x:c>
      <x:c r="C1469" s="99" t="n">
        <x:v>17</x:v>
      </x:c>
      <x:c r="D1469" s="99" t="str">
        <x:v>text</x:v>
      </x:c>
      <x:c r="E1469" s="99" t="str">
        <x:v>/tekst/</x:v>
      </x:c>
      <x:c r="F1469" s="99" t="str">
        <x:v>文本；课文</x:v>
      </x:c>
      <x:c r="G1469" s="99" t="str">
        <x:v>17. text /tekst/ 文本；课文</x:v>
      </x:c>
    </x:row>
    <x:row r="1470" ht="18" customHeight="1">
      <x:c r="A1470" s="99" t="str">
        <x:v>T</x:v>
      </x:c>
      <x:c r="B1470" s="99" t="str">
        <x:v>名词</x:v>
      </x:c>
      <x:c r="C1470" s="99" t="n">
        <x:v>18</x:v>
      </x:c>
      <x:c r="D1470" s="99" t="str">
        <x:v>thanks</x:v>
      </x:c>
      <x:c r="E1470" s="99" t="str">
        <x:v>/θæŋks/</x:v>
      </x:c>
      <x:c r="F1470" s="99" t="str">
        <x:v>感谢；谢谢</x:v>
      </x:c>
      <x:c r="G1470" s="99" t="str">
        <x:v>18. thanks /θæŋks/ 感谢；谢谢</x:v>
      </x:c>
    </x:row>
    <x:row r="1471" ht="18" customHeight="1">
      <x:c r="A1471" s="99" t="str">
        <x:v>T</x:v>
      </x:c>
      <x:c r="B1471" s="99" t="str">
        <x:v>名词</x:v>
      </x:c>
      <x:c r="C1471" s="99" t="n">
        <x:v>19</x:v>
      </x:c>
      <x:c r="D1471" s="99" t="str">
        <x:v>theatre</x:v>
      </x:c>
      <x:c r="E1471" s="99" t="str">
        <x:v>/ˈθɪətə/</x:v>
      </x:c>
      <x:c r="F1471" s="99" t="str">
        <x:v>剧院；戏院</x:v>
      </x:c>
      <x:c r="G1471" s="99" t="str">
        <x:v>19. theatre /ˈθɪətə/ 剧院；戏院</x:v>
      </x:c>
    </x:row>
    <x:row r="1472" ht="18" customHeight="1">
      <x:c r="A1472" s="99" t="str">
        <x:v>T</x:v>
      </x:c>
      <x:c r="B1472" s="99" t="str">
        <x:v>名词</x:v>
      </x:c>
      <x:c r="C1472" s="99" t="n">
        <x:v>20</x:v>
      </x:c>
      <x:c r="D1472" s="99" t="str">
        <x:v>the</x:v>
      </x:c>
      <x:c r="E1472" s="99" t="str">
        <x:v>/ðə; ðiː/</x:v>
      </x:c>
      <x:c r="F1472" s="99" t="str">
        <x:v>定冠词（此处归为功能词，不列名词）</x:v>
      </x:c>
      <x:c r="G1472" s="99" t="str">
        <x:v>20. the /ðə; ðiː/ 定冠词（此处归为功能词，不列名词）</x:v>
      </x:c>
    </x:row>
    <x:row r="1473" ht="18" customHeight="1">
      <x:c r="A1473" s="99" t="str">
        <x:v>T</x:v>
      </x:c>
      <x:c r="B1473" s="99" t="str">
        <x:v>名词</x:v>
      </x:c>
      <x:c r="C1473" s="99" t="n">
        <x:v>21</x:v>
      </x:c>
      <x:c r="D1473" s="99" t="str">
        <x:v>thing</x:v>
      </x:c>
      <x:c r="E1473" s="99" t="str">
        <x:v>/θɪŋ/</x:v>
      </x:c>
      <x:c r="F1473" s="99" t="str">
        <x:v>东西；事情</x:v>
      </x:c>
      <x:c r="G1473" s="99" t="str">
        <x:v>21. thing /θɪŋ/ 东西；事情</x:v>
      </x:c>
    </x:row>
    <x:row r="1474" ht="18" customHeight="1">
      <x:c r="A1474" s="99" t="str">
        <x:v>T</x:v>
      </x:c>
      <x:c r="B1474" s="99" t="str">
        <x:v>名词</x:v>
      </x:c>
      <x:c r="C1474" s="99" t="n">
        <x:v>22</x:v>
      </x:c>
      <x:c r="D1474" s="99" t="str">
        <x:v>think</x:v>
      </x:c>
      <x:c r="E1474" s="99" t="str">
        <x:v>/θɪŋk/</x:v>
      </x:c>
      <x:c r="F1474" s="99" t="str">
        <x:v>想法；观点（兼作动词）</x:v>
      </x:c>
      <x:c r="G1474" s="99" t="str">
        <x:v>22. think /θɪŋk/ 想法；观点（兼作动词）</x:v>
      </x:c>
    </x:row>
    <x:row r="1475" ht="18" customHeight="1">
      <x:c r="A1475" s="99" t="str">
        <x:v>T</x:v>
      </x:c>
      <x:c r="B1475" s="99" t="str">
        <x:v>名词</x:v>
      </x:c>
      <x:c r="C1475" s="99" t="n">
        <x:v>23</x:v>
      </x:c>
      <x:c r="D1475" s="99" t="str">
        <x:v>thirty</x:v>
      </x:c>
      <x:c r="E1475" s="99" t="str">
        <x:v>/ˈθɜːti/</x:v>
      </x:c>
      <x:c r="F1475" s="99" t="str">
        <x:v>三十</x:v>
      </x:c>
      <x:c r="G1475" s="99" t="str">
        <x:v>23. thirty /ˈθɜːti/ 三十</x:v>
      </x:c>
    </x:row>
    <x:row r="1476" ht="18" customHeight="1">
      <x:c r="A1476" s="99" t="str">
        <x:v>T</x:v>
      </x:c>
      <x:c r="B1476" s="99" t="str">
        <x:v>名词</x:v>
      </x:c>
      <x:c r="C1476" s="99" t="n">
        <x:v>24</x:v>
      </x:c>
      <x:c r="D1476" s="99" t="str">
        <x:v>this</x:v>
      </x:c>
      <x:c r="E1476" s="99" t="str">
        <x:v>/ðɪs/</x:v>
      </x:c>
      <x:c r="F1476" s="99" t="str">
        <x:v>这；这个（代词，不列名词）</x:v>
      </x:c>
      <x:c r="G1476" s="99" t="str">
        <x:v>24. this /ðɪs/ 这；这个（代词，不列名词）</x:v>
      </x:c>
    </x:row>
    <x:row r="1477" ht="18" customHeight="1">
      <x:c r="A1477" s="99" t="str">
        <x:v>T</x:v>
      </x:c>
      <x:c r="B1477" s="99" t="str">
        <x:v>名词</x:v>
      </x:c>
      <x:c r="C1477" s="99" t="n">
        <x:v>25</x:v>
      </x:c>
      <x:c r="D1477" s="99" t="str">
        <x:v>those</x:v>
      </x:c>
      <x:c r="E1477" s="99" t="str">
        <x:v>/ðəʊz/</x:v>
      </x:c>
      <x:c r="F1477" s="99" t="str">
        <x:v>那些（代词，不列名词）</x:v>
      </x:c>
      <x:c r="G1477" s="99" t="str">
        <x:v>25. those /ðəʊz/ 那些（代词，不列名词）</x:v>
      </x:c>
    </x:row>
    <x:row r="1478" ht="18" customHeight="1">
      <x:c r="A1478" s="99" t="str">
        <x:v>T</x:v>
      </x:c>
      <x:c r="B1478" s="99" t="str">
        <x:v>名词</x:v>
      </x:c>
      <x:c r="C1478" s="99" t="n">
        <x:v>26</x:v>
      </x:c>
      <x:c r="D1478" s="99" t="str">
        <x:v>though</x:v>
      </x:c>
      <x:c r="E1478" s="99" t="str">
        <x:v>/ðəʊ/</x:v>
      </x:c>
      <x:c r="F1478" s="99" t="str">
        <x:v>虽然；尽管（连词，不列名词）</x:v>
      </x:c>
      <x:c r="G1478" s="99" t="str">
        <x:v>26. though /ðəʊ/ 虽然；尽管（连词，不列名词）</x:v>
      </x:c>
    </x:row>
    <x:row r="1479" ht="18" customHeight="1">
      <x:c r="A1479" s="99" t="str">
        <x:v>T</x:v>
      </x:c>
      <x:c r="B1479" s="99" t="str">
        <x:v>名词</x:v>
      </x:c>
      <x:c r="C1479" s="99" t="n">
        <x:v>27</x:v>
      </x:c>
      <x:c r="D1479" s="99" t="str">
        <x:v>thought</x:v>
      </x:c>
      <x:c r="E1479" s="99" t="str">
        <x:v>/θɔːt/</x:v>
      </x:c>
      <x:c r="F1479" s="99" t="str">
        <x:v>思想；想法</x:v>
      </x:c>
      <x:c r="G1479" s="99" t="str">
        <x:v>27. thought /θɔːt/ 思想；想法</x:v>
      </x:c>
    </x:row>
    <x:row r="1480" ht="18" customHeight="1">
      <x:c r="A1480" s="99" t="str">
        <x:v>T</x:v>
      </x:c>
      <x:c r="B1480" s="99" t="str">
        <x:v>名词</x:v>
      </x:c>
      <x:c r="C1480" s="99" t="n">
        <x:v>28</x:v>
      </x:c>
      <x:c r="D1480" s="99" t="str">
        <x:v>thousand</x:v>
      </x:c>
      <x:c r="E1480" s="99" t="str">
        <x:v>/ˈθaʊzənd/</x:v>
      </x:c>
      <x:c r="F1480" s="99" t="str">
        <x:v>千</x:v>
      </x:c>
      <x:c r="G1480" s="99" t="str">
        <x:v>28. thousand /ˈθaʊzənd/ 千</x:v>
      </x:c>
    </x:row>
    <x:row r="1481" ht="18" customHeight="1">
      <x:c r="A1481" s="99" t="str">
        <x:v>T</x:v>
      </x:c>
      <x:c r="B1481" s="99" t="str">
        <x:v>名词</x:v>
      </x:c>
      <x:c r="C1481" s="99" t="n">
        <x:v>29</x:v>
      </x:c>
      <x:c r="D1481" s="99" t="str">
        <x:v>thread</x:v>
      </x:c>
      <x:c r="E1481" s="99" t="str">
        <x:v>/θred/</x:v>
      </x:c>
      <x:c r="F1481" s="99" t="str">
        <x:v>线；线索</x:v>
      </x:c>
      <x:c r="G1481" s="99" t="str">
        <x:v>29. thread /θred/ 线；线索</x:v>
      </x:c>
    </x:row>
    <x:row r="1482" ht="18" customHeight="1">
      <x:c r="A1482" s="99" t="str">
        <x:v>T</x:v>
      </x:c>
      <x:c r="B1482" s="99" t="str">
        <x:v>名词</x:v>
      </x:c>
      <x:c r="C1482" s="99" t="n">
        <x:v>30</x:v>
      </x:c>
      <x:c r="D1482" s="99" t="str">
        <x:v>three</x:v>
      </x:c>
      <x:c r="E1482" s="99" t="str">
        <x:v>/θriː/</x:v>
      </x:c>
      <x:c r="F1482" s="99" t="str">
        <x:v>三</x:v>
      </x:c>
      <x:c r="G1482" s="99" t="str">
        <x:v>30. three /θriː/ 三</x:v>
      </x:c>
    </x:row>
    <x:row r="1483" ht="18" customHeight="1">
      <x:c r="A1483" s="99" t="str">
        <x:v>T</x:v>
      </x:c>
      <x:c r="B1483" s="99" t="str">
        <x:v>名词</x:v>
      </x:c>
      <x:c r="C1483" s="99" t="n">
        <x:v>31</x:v>
      </x:c>
      <x:c r="D1483" s="99" t="str">
        <x:v>Thursday</x:v>
      </x:c>
      <x:c r="E1483" s="99" t="str">
        <x:v>/ˈθɜːzdeɪ/</x:v>
      </x:c>
      <x:c r="F1483" s="99" t="str">
        <x:v>星期四</x:v>
      </x:c>
      <x:c r="G1483" s="99" t="str">
        <x:v>31. Thursday /ˈθɜːzdeɪ/ 星期四</x:v>
      </x:c>
    </x:row>
    <x:row r="1484" ht="18" customHeight="1">
      <x:c r="A1484" s="99" t="str">
        <x:v>T</x:v>
      </x:c>
      <x:c r="B1484" s="99" t="str">
        <x:v>名词</x:v>
      </x:c>
      <x:c r="C1484" s="99" t="n">
        <x:v>32</x:v>
      </x:c>
      <x:c r="D1484" s="99" t="str">
        <x:v>ticket</x:v>
      </x:c>
      <x:c r="E1484" s="99" t="str">
        <x:v>/ˈtɪkɪt/</x:v>
      </x:c>
      <x:c r="F1484" s="99" t="str">
        <x:v>票；入场券</x:v>
      </x:c>
      <x:c r="G1484" s="99" t="str">
        <x:v>32. ticket /ˈtɪkɪt/ 票；入场券</x:v>
      </x:c>
    </x:row>
    <x:row r="1485" ht="18" customHeight="1">
      <x:c r="A1485" s="99" t="str">
        <x:v>T</x:v>
      </x:c>
      <x:c r="B1485" s="99" t="str">
        <x:v>名词</x:v>
      </x:c>
      <x:c r="C1485" s="99" t="n">
        <x:v>33</x:v>
      </x:c>
      <x:c r="D1485" s="99" t="str">
        <x:v>tiger</x:v>
      </x:c>
      <x:c r="E1485" s="99" t="str">
        <x:v>/ˈtaɪɡə/</x:v>
      </x:c>
      <x:c r="F1485" s="99" t="str">
        <x:v>老虎</x:v>
      </x:c>
      <x:c r="G1485" s="99" t="str">
        <x:v>33. tiger /ˈtaɪɡə/ 老虎</x:v>
      </x:c>
    </x:row>
    <x:row r="1486" ht="18" customHeight="1">
      <x:c r="A1486" s="99" t="str">
        <x:v>T</x:v>
      </x:c>
      <x:c r="B1486" s="99" t="str">
        <x:v>名词</x:v>
      </x:c>
      <x:c r="C1486" s="99" t="n">
        <x:v>34</x:v>
      </x:c>
      <x:c r="D1486" s="99" t="str">
        <x:v>time</x:v>
      </x:c>
      <x:c r="E1486" s="99" t="str">
        <x:v>/taɪm/</x:v>
      </x:c>
      <x:c r="F1486" s="99" t="str">
        <x:v>时间；次数</x:v>
      </x:c>
      <x:c r="G1486" s="99" t="str">
        <x:v>34. time /taɪm/ 时间；次数</x:v>
      </x:c>
    </x:row>
    <x:row r="1487" ht="18" customHeight="1">
      <x:c r="A1487" s="99" t="str">
        <x:v>T</x:v>
      </x:c>
      <x:c r="B1487" s="99" t="str">
        <x:v>名词</x:v>
      </x:c>
      <x:c r="C1487" s="99" t="n">
        <x:v>35</x:v>
      </x:c>
      <x:c r="D1487" s="99" t="str">
        <x:v>tip</x:v>
      </x:c>
      <x:c r="E1487" s="99" t="str">
        <x:v>/tɪp/</x:v>
      </x:c>
      <x:c r="F1487" s="99" t="str">
        <x:v>小费；尖端</x:v>
      </x:c>
      <x:c r="G1487" s="99" t="str">
        <x:v>35. tip /tɪp/ 小费；尖端</x:v>
      </x:c>
    </x:row>
    <x:row r="1488" ht="18" customHeight="1">
      <x:c r="A1488" s="99" t="str">
        <x:v>T</x:v>
      </x:c>
      <x:c r="B1488" s="99" t="str">
        <x:v>名词</x:v>
      </x:c>
      <x:c r="C1488" s="99" t="n">
        <x:v>36</x:v>
      </x:c>
      <x:c r="D1488" s="99" t="str">
        <x:v>tired</x:v>
      </x:c>
      <x:c r="E1488" s="99" t="str">
        <x:v>/ˈtaɪəd/</x:v>
      </x:c>
      <x:c r="F1488" s="99" t="str">
        <x:v>疲劳的人（兼作形容词）</x:v>
      </x:c>
      <x:c r="G1488" s="99" t="str">
        <x:v>36. tired /ˈtaɪəd/ 疲劳的人（兼作形容词）</x:v>
      </x:c>
    </x:row>
    <x:row r="1489" ht="18" customHeight="1">
      <x:c r="A1489" s="99" t="str">
        <x:v>T</x:v>
      </x:c>
      <x:c r="B1489" s="99" t="str">
        <x:v>名词</x:v>
      </x:c>
      <x:c r="C1489" s="99" t="n">
        <x:v>37</x:v>
      </x:c>
      <x:c r="D1489" s="99" t="str">
        <x:v>to</x:v>
      </x:c>
      <x:c r="E1489" s="99" t="str">
        <x:v>/tuː/</x:v>
      </x:c>
      <x:c r="F1489" s="99" t="str">
        <x:v>介词（不列名词）</x:v>
      </x:c>
      <x:c r="G1489" s="99" t="str">
        <x:v>37. to /tuː/ 介词（不列名词）</x:v>
      </x:c>
    </x:row>
    <x:row r="1490" ht="18" customHeight="1">
      <x:c r="A1490" s="99" t="str">
        <x:v>T</x:v>
      </x:c>
      <x:c r="B1490" s="99" t="str">
        <x:v>名词</x:v>
      </x:c>
      <x:c r="C1490" s="99" t="n">
        <x:v>38</x:v>
      </x:c>
      <x:c r="D1490" s="99" t="str">
        <x:v>today</x:v>
      </x:c>
      <x:c r="E1490" s="99" t="str">
        <x:v>/təˈdeɪ/</x:v>
      </x:c>
      <x:c r="F1490" s="99" t="str">
        <x:v>今天；今日</x:v>
      </x:c>
      <x:c r="G1490" s="99" t="str">
        <x:v>38. today /təˈdeɪ/ 今天；今日</x:v>
      </x:c>
    </x:row>
    <x:row r="1491" ht="18" customHeight="1">
      <x:c r="A1491" s="99" t="str">
        <x:v>T</x:v>
      </x:c>
      <x:c r="B1491" s="99" t="str">
        <x:v>名词</x:v>
      </x:c>
      <x:c r="C1491" s="99" t="n">
        <x:v>39</x:v>
      </x:c>
      <x:c r="D1491" s="99" t="str">
        <x:v>together</x:v>
      </x:c>
      <x:c r="E1491" s="99" t="str">
        <x:v>/təˈɡeðə/</x:v>
      </x:c>
      <x:c r="F1491" s="99" t="str">
        <x:v>一起；共同（副词，不列名词）</x:v>
      </x:c>
      <x:c r="G1491" s="99" t="str">
        <x:v>39. together /təˈɡeðə/ 一起；共同（副词，不列名词）</x:v>
      </x:c>
    </x:row>
    <x:row r="1492" ht="18" customHeight="1">
      <x:c r="A1492" s="99" t="str">
        <x:v>T</x:v>
      </x:c>
      <x:c r="B1492" s="99" t="str">
        <x:v>名词</x:v>
      </x:c>
      <x:c r="C1492" s="99" t="n">
        <x:v>40</x:v>
      </x:c>
      <x:c r="D1492" s="99" t="str">
        <x:v>tomato</x:v>
      </x:c>
      <x:c r="E1492" s="99" t="str">
        <x:v>/təˈmɑːtəʊ/</x:v>
      </x:c>
      <x:c r="F1492" s="99" t="str">
        <x:v>西红柿；番茄</x:v>
      </x:c>
      <x:c r="G1492" s="99" t="str">
        <x:v>40. tomato /təˈmɑːtəʊ/ 西红柿；番茄</x:v>
      </x:c>
    </x:row>
    <x:row r="1493" ht="18" customHeight="1">
      <x:c r="A1493" s="99" t="str">
        <x:v>T</x:v>
      </x:c>
      <x:c r="B1493" s="99" t="str">
        <x:v>名词</x:v>
      </x:c>
      <x:c r="C1493" s="99" t="n">
        <x:v>41</x:v>
      </x:c>
      <x:c r="D1493" s="99" t="str">
        <x:v>tomorrow</x:v>
      </x:c>
      <x:c r="E1493" s="99" t="str">
        <x:v>/təˈmɒrəʊ/</x:v>
      </x:c>
      <x:c r="F1493" s="99" t="str">
        <x:v>明天</x:v>
      </x:c>
      <x:c r="G1493" s="99" t="str">
        <x:v>41. tomorrow /təˈmɒrəʊ/ 明天</x:v>
      </x:c>
    </x:row>
    <x:row r="1494" ht="18" customHeight="1">
      <x:c r="A1494" s="99" t="str">
        <x:v>T</x:v>
      </x:c>
      <x:c r="B1494" s="99" t="str">
        <x:v>名词</x:v>
      </x:c>
      <x:c r="C1494" s="99" t="n">
        <x:v>42</x:v>
      </x:c>
      <x:c r="D1494" s="99" t="str">
        <x:v>ton</x:v>
      </x:c>
      <x:c r="E1494" s="99" t="str">
        <x:v>/tʌn/</x:v>
      </x:c>
      <x:c r="F1494" s="99" t="str">
        <x:v>吨</x:v>
      </x:c>
      <x:c r="G1494" s="99" t="str">
        <x:v>42. ton /tʌn/ 吨</x:v>
      </x:c>
    </x:row>
    <x:row r="1495" ht="18" customHeight="1">
      <x:c r="A1495" s="99" t="str">
        <x:v>T</x:v>
      </x:c>
      <x:c r="B1495" s="99" t="str">
        <x:v>名词</x:v>
      </x:c>
      <x:c r="C1495" s="99" t="n">
        <x:v>43</x:v>
      </x:c>
      <x:c r="D1495" s="99" t="str">
        <x:v>tonight</x:v>
      </x:c>
      <x:c r="E1495" s="99" t="str">
        <x:v>/təˈnaɪt/</x:v>
      </x:c>
      <x:c r="F1495" s="99" t="str">
        <x:v>今晚；今夜</x:v>
      </x:c>
      <x:c r="G1495" s="99" t="str">
        <x:v>43. tonight /təˈnaɪt/ 今晚；今夜</x:v>
      </x:c>
    </x:row>
    <x:row r="1496" ht="18" customHeight="1">
      <x:c r="A1496" s="99" t="str">
        <x:v>T</x:v>
      </x:c>
      <x:c r="B1496" s="99" t="str">
        <x:v>名词</x:v>
      </x:c>
      <x:c r="C1496" s="99" t="n">
        <x:v>44</x:v>
      </x:c>
      <x:c r="D1496" s="99" t="str">
        <x:v>tooth</x:v>
      </x:c>
      <x:c r="E1496" s="99" t="str">
        <x:v>/tuːθ/</x:v>
      </x:c>
      <x:c r="F1496" s="99" t="str">
        <x:v>牙齿</x:v>
      </x:c>
      <x:c r="G1496" s="99" t="str">
        <x:v>44. tooth /tuːθ/ 牙齿</x:v>
      </x:c>
    </x:row>
    <x:row r="1497" ht="18" customHeight="1">
      <x:c r="A1497" s="99" t="str">
        <x:v>T</x:v>
      </x:c>
      <x:c r="B1497" s="99" t="str">
        <x:v>名词</x:v>
      </x:c>
      <x:c r="C1497" s="99" t="n">
        <x:v>45</x:v>
      </x:c>
      <x:c r="D1497" s="99" t="str">
        <x:v>top</x:v>
      </x:c>
      <x:c r="E1497" s="99" t="str">
        <x:v>/tɒp/</x:v>
      </x:c>
      <x:c r="F1497" s="99" t="str">
        <x:v>顶部；顶端</x:v>
      </x:c>
      <x:c r="G1497" s="99" t="str">
        <x:v>45. top /tɒp/ 顶部；顶端</x:v>
      </x:c>
    </x:row>
    <x:row r="1498" ht="18" customHeight="1">
      <x:c r="A1498" s="99" t="str">
        <x:v>T</x:v>
      </x:c>
      <x:c r="B1498" s="99" t="str">
        <x:v>名词</x:v>
      </x:c>
      <x:c r="C1498" s="99" t="n">
        <x:v>46</x:v>
      </x:c>
      <x:c r="D1498" s="99" t="str">
        <x:v>touch</x:v>
      </x:c>
      <x:c r="E1498" s="99" t="str">
        <x:v>/tʌtʃ/</x:v>
      </x:c>
      <x:c r="F1498" s="99" t="str">
        <x:v>触摸；接触</x:v>
      </x:c>
      <x:c r="G1498" s="99" t="str">
        <x:v>46. touch /tʌtʃ/ 触摸；接触</x:v>
      </x:c>
    </x:row>
    <x:row r="1499" ht="18" customHeight="1">
      <x:c r="A1499" s="99" t="str">
        <x:v>T</x:v>
      </x:c>
      <x:c r="B1499" s="99" t="str">
        <x:v>名词</x:v>
      </x:c>
      <x:c r="C1499" s="99" t="n">
        <x:v>47</x:v>
      </x:c>
      <x:c r="D1499" s="99" t="str">
        <x:v>tour</x:v>
      </x:c>
      <x:c r="E1499" s="99" t="str">
        <x:v>/tʊə/</x:v>
      </x:c>
      <x:c r="F1499" s="99" t="str">
        <x:v>旅行；观光</x:v>
      </x:c>
      <x:c r="G1499" s="99" t="str">
        <x:v>47. tour /tʊə/ 旅行；观光</x:v>
      </x:c>
    </x:row>
    <x:row r="1500" ht="18" customHeight="1">
      <x:c r="A1500" s="99" t="str">
        <x:v>T</x:v>
      </x:c>
      <x:c r="B1500" s="99" t="str">
        <x:v>名词</x:v>
      </x:c>
      <x:c r="C1500" s="99" t="n">
        <x:v>48</x:v>
      </x:c>
      <x:c r="D1500" s="99" t="str">
        <x:v>tourist</x:v>
      </x:c>
      <x:c r="E1500" s="99" t="str">
        <x:v>/ˈtʊərɪst/</x:v>
      </x:c>
      <x:c r="F1500" s="99" t="str">
        <x:v>游客；旅游者</x:v>
      </x:c>
      <x:c r="G1500" s="99" t="str">
        <x:v>48. tourist /ˈtʊərɪst/ 游客；旅游者</x:v>
      </x:c>
    </x:row>
    <x:row r="1501" ht="18" customHeight="1">
      <x:c r="A1501" s="99" t="str">
        <x:v>T</x:v>
      </x:c>
      <x:c r="B1501" s="99" t="str">
        <x:v>名词</x:v>
      </x:c>
      <x:c r="C1501" s="99" t="n">
        <x:v>49</x:v>
      </x:c>
      <x:c r="D1501" s="99" t="str">
        <x:v>towards</x:v>
      </x:c>
      <x:c r="E1501" s="99" t="str">
        <x:v>/təˈwɔːdz/</x:v>
      </x:c>
      <x:c r="F1501" s="99" t="str">
        <x:v>朝；向（介词，不列名词）</x:v>
      </x:c>
      <x:c r="G1501" s="99" t="str">
        <x:v>49. towards /təˈwɔːdz/ 朝；向（介词，不列名词）</x:v>
      </x:c>
    </x:row>
    <x:row r="1502" ht="18" customHeight="1">
      <x:c r="A1502" s="99" t="str">
        <x:v>T</x:v>
      </x:c>
      <x:c r="B1502" s="99" t="str">
        <x:v>名词</x:v>
      </x:c>
      <x:c r="C1502" s="99" t="n">
        <x:v>50</x:v>
      </x:c>
      <x:c r="D1502" s="99" t="str">
        <x:v>town</x:v>
      </x:c>
      <x:c r="E1502" s="99" t="str">
        <x:v>/taʊn/</x:v>
      </x:c>
      <x:c r="F1502" s="99" t="str">
        <x:v>城镇；市镇</x:v>
      </x:c>
      <x:c r="G1502" s="99" t="str">
        <x:v>50. town /taʊn/ 城镇；市镇</x:v>
      </x:c>
    </x:row>
    <x:row r="1503" ht="18" customHeight="1">
      <x:c r="A1503" s="99" t="str">
        <x:v>T</x:v>
      </x:c>
      <x:c r="B1503" s="99" t="str">
        <x:v>名词</x:v>
      </x:c>
      <x:c r="C1503" s="99" t="n">
        <x:v>51</x:v>
      </x:c>
      <x:c r="D1503" s="99" t="str">
        <x:v>toy</x:v>
      </x:c>
      <x:c r="E1503" s="99" t="str">
        <x:v>/tɔɪ/</x:v>
      </x:c>
      <x:c r="F1503" s="99" t="str">
        <x:v>玩具</x:v>
      </x:c>
      <x:c r="G1503" s="99" t="str">
        <x:v>51. toy /tɔɪ/ 玩具</x:v>
      </x:c>
    </x:row>
    <x:row r="1504" ht="18" customHeight="1">
      <x:c r="A1504" s="99" t="str">
        <x:v>T</x:v>
      </x:c>
      <x:c r="B1504" s="99" t="str">
        <x:v>名词</x:v>
      </x:c>
      <x:c r="C1504" s="99" t="n">
        <x:v>52</x:v>
      </x:c>
      <x:c r="D1504" s="99" t="str">
        <x:v>tradition</x:v>
      </x:c>
      <x:c r="E1504" s="99" t="str">
        <x:v>/trəˈdɪʃn/</x:v>
      </x:c>
      <x:c r="F1504" s="99" t="str">
        <x:v>传统；习俗</x:v>
      </x:c>
      <x:c r="G1504" s="99" t="str">
        <x:v>52. tradition /trəˈdɪʃn/ 传统；习俗</x:v>
      </x:c>
    </x:row>
    <x:row r="1505" ht="18" customHeight="1">
      <x:c r="A1505" s="99" t="str">
        <x:v>T</x:v>
      </x:c>
      <x:c r="B1505" s="99" t="str">
        <x:v>名词</x:v>
      </x:c>
      <x:c r="C1505" s="99" t="n">
        <x:v>53</x:v>
      </x:c>
      <x:c r="D1505" s="99" t="str">
        <x:v>train</x:v>
      </x:c>
      <x:c r="E1505" s="99" t="str">
        <x:v>/treɪn/</x:v>
      </x:c>
      <x:c r="F1505" s="99" t="str">
        <x:v>火车；列车</x:v>
      </x:c>
      <x:c r="G1505" s="99" t="str">
        <x:v>53. train /treɪn/ 火车；列车</x:v>
      </x:c>
    </x:row>
    <x:row r="1506" ht="18" customHeight="1">
      <x:c r="A1506" s="99" t="str">
        <x:v>T</x:v>
      </x:c>
      <x:c r="B1506" s="99" t="str">
        <x:v>名词</x:v>
      </x:c>
      <x:c r="C1506" s="99" t="n">
        <x:v>54</x:v>
      </x:c>
      <x:c r="D1506" s="99" t="str">
        <x:v>training</x:v>
      </x:c>
      <x:c r="E1506" s="99" t="str">
        <x:v>/ˈtreɪnɪŋ/</x:v>
      </x:c>
      <x:c r="F1506" s="99" t="str">
        <x:v>训练；培训</x:v>
      </x:c>
      <x:c r="G1506" s="99" t="str">
        <x:v>54. training /ˈtreɪnɪŋ/ 训练；培训</x:v>
      </x:c>
    </x:row>
    <x:row r="1507" ht="18" customHeight="1">
      <x:c r="A1507" s="99" t="str">
        <x:v>T</x:v>
      </x:c>
      <x:c r="B1507" s="99" t="str">
        <x:v>名词</x:v>
      </x:c>
      <x:c r="C1507" s="99" t="n">
        <x:v>55</x:v>
      </x:c>
      <x:c r="D1507" s="99" t="str">
        <x:v>travel</x:v>
      </x:c>
      <x:c r="E1507" s="99" t="str">
        <x:v>/ˈtrævl/</x:v>
      </x:c>
      <x:c r="F1507" s="99" t="str">
        <x:v>旅行；游历</x:v>
      </x:c>
      <x:c r="G1507" s="99" t="str">
        <x:v>55. travel /ˈtrævl/ 旅行；游历</x:v>
      </x:c>
    </x:row>
    <x:row r="1508" ht="18" customHeight="1">
      <x:c r="A1508" s="99" t="str">
        <x:v>T</x:v>
      </x:c>
      <x:c r="B1508" s="99" t="str">
        <x:v>名词</x:v>
      </x:c>
      <x:c r="C1508" s="99" t="n">
        <x:v>56</x:v>
      </x:c>
      <x:c r="D1508" s="99" t="str">
        <x:v>tree</x:v>
      </x:c>
      <x:c r="E1508" s="99" t="str">
        <x:v>/triː/</x:v>
      </x:c>
      <x:c r="F1508" s="99" t="str">
        <x:v>树；树木</x:v>
      </x:c>
      <x:c r="G1508" s="99" t="str">
        <x:v>56. tree /triː/ 树；树木</x:v>
      </x:c>
    </x:row>
    <x:row r="1509" ht="18" customHeight="1">
      <x:c r="A1509" s="99" t="str">
        <x:v>T</x:v>
      </x:c>
      <x:c r="B1509" s="99" t="str">
        <x:v>名词</x:v>
      </x:c>
      <x:c r="C1509" s="99" t="n">
        <x:v>57</x:v>
      </x:c>
      <x:c r="D1509" s="99" t="str">
        <x:v>trip</x:v>
      </x:c>
      <x:c r="E1509" s="99" t="str">
        <x:v>/trɪp/</x:v>
      </x:c>
      <x:c r="F1509" s="99" t="str">
        <x:v>旅行；短途行程</x:v>
      </x:c>
      <x:c r="G1509" s="99" t="str">
        <x:v>57. trip /trɪp/ 旅行；短途行程</x:v>
      </x:c>
    </x:row>
    <x:row r="1510" ht="18" customHeight="1">
      <x:c r="A1510" s="99" t="str">
        <x:v>T</x:v>
      </x:c>
      <x:c r="B1510" s="99" t="str">
        <x:v>名词</x:v>
      </x:c>
      <x:c r="C1510" s="99" t="n">
        <x:v>58</x:v>
      </x:c>
      <x:c r="D1510" s="99" t="str">
        <x:v>trouble</x:v>
      </x:c>
      <x:c r="E1510" s="99" t="str">
        <x:v>/ˈtrʌbl/</x:v>
      </x:c>
      <x:c r="F1510" s="99" t="str">
        <x:v>问题；烦恼；困难</x:v>
      </x:c>
      <x:c r="G1510" s="99" t="str">
        <x:v>58. trouble /ˈtrʌbl/ 问题；烦恼；困难</x:v>
      </x:c>
    </x:row>
    <x:row r="1511" ht="18" customHeight="1">
      <x:c r="A1511" s="99" t="str">
        <x:v>T</x:v>
      </x:c>
      <x:c r="B1511" s="99" t="str">
        <x:v>名词</x:v>
      </x:c>
      <x:c r="C1511" s="99" t="n">
        <x:v>59</x:v>
      </x:c>
      <x:c r="D1511" s="99" t="str">
        <x:v>trousers</x:v>
      </x:c>
      <x:c r="E1511" s="99" t="str">
        <x:v>/ˈtraʊzəz/</x:v>
      </x:c>
      <x:c r="F1511" s="99" t="str">
        <x:v>裤子；长裤</x:v>
      </x:c>
      <x:c r="G1511" s="99" t="str">
        <x:v>59. trousers /ˈtraʊzəz/ 裤子；长裤</x:v>
      </x:c>
    </x:row>
    <x:row r="1512" ht="18" customHeight="1">
      <x:c r="A1512" s="99" t="str">
        <x:v>T</x:v>
      </x:c>
      <x:c r="B1512" s="99" t="str">
        <x:v>名词</x:v>
      </x:c>
      <x:c r="C1512" s="99" t="n">
        <x:v>60</x:v>
      </x:c>
      <x:c r="D1512" s="99" t="str">
        <x:v>true</x:v>
      </x:c>
      <x:c r="E1512" s="99" t="str">
        <x:v>/truː/</x:v>
      </x:c>
      <x:c r="F1512" s="99" t="str">
        <x:v>真实的事物（兼作形容词）</x:v>
      </x:c>
      <x:c r="G1512" s="99" t="str">
        <x:v>60. true /truː/ 真实的事物（兼作形容词）</x:v>
      </x:c>
    </x:row>
    <x:row r="1513" ht="18" customHeight="1">
      <x:c r="A1513" s="99" t="str">
        <x:v>T</x:v>
      </x:c>
      <x:c r="B1513" s="99" t="str">
        <x:v>名词</x:v>
      </x:c>
      <x:c r="C1513" s="99" t="n">
        <x:v>61</x:v>
      </x:c>
      <x:c r="D1513" s="99" t="str">
        <x:v>trust</x:v>
      </x:c>
      <x:c r="E1513" s="99" t="str">
        <x:v>/trʌst/</x:v>
      </x:c>
      <x:c r="F1513" s="99" t="str">
        <x:v>信任；信赖</x:v>
      </x:c>
      <x:c r="G1513" s="99" t="str">
        <x:v>61. trust /trʌst/ 信任；信赖</x:v>
      </x:c>
    </x:row>
    <x:row r="1514" ht="18" customHeight="1">
      <x:c r="A1514" s="99" t="str">
        <x:v>T</x:v>
      </x:c>
      <x:c r="B1514" s="99" t="str">
        <x:v>名词</x:v>
      </x:c>
      <x:c r="C1514" s="99" t="n">
        <x:v>62</x:v>
      </x:c>
      <x:c r="D1514" s="99" t="str">
        <x:v>truth</x:v>
      </x:c>
      <x:c r="E1514" s="99" t="str">
        <x:v>/truːθ/</x:v>
      </x:c>
      <x:c r="F1514" s="99" t="str">
        <x:v>真相；事实</x:v>
      </x:c>
      <x:c r="G1514" s="99" t="str">
        <x:v>62. truth /truːθ/ 真相；事实</x:v>
      </x:c>
    </x:row>
    <x:row r="1515" ht="18" customHeight="1">
      <x:c r="A1515" s="99" t="str">
        <x:v>T</x:v>
      </x:c>
      <x:c r="B1515" s="99" t="str">
        <x:v>名词</x:v>
      </x:c>
      <x:c r="C1515" s="99" t="n">
        <x:v>63</x:v>
      </x:c>
      <x:c r="D1515" s="99" t="str">
        <x:v>try</x:v>
      </x:c>
      <x:c r="E1515" s="99" t="str">
        <x:v>/traɪ/</x:v>
      </x:c>
      <x:c r="F1515" s="99" t="str">
        <x:v>尝试；努力</x:v>
      </x:c>
      <x:c r="G1515" s="99" t="str">
        <x:v>63. try /traɪ/ 尝试；努力</x:v>
      </x:c>
    </x:row>
    <x:row r="1516" ht="18" customHeight="1">
      <x:c r="A1516" s="99" t="str">
        <x:v>T</x:v>
      </x:c>
      <x:c r="B1516" s="99" t="str">
        <x:v>名词</x:v>
      </x:c>
      <x:c r="C1516" s="99" t="n">
        <x:v>64</x:v>
      </x:c>
      <x:c r="D1516" s="99" t="str">
        <x:v>Tuesday</x:v>
      </x:c>
      <x:c r="E1516" s="99" t="str">
        <x:v>/ˈtjuːzdeɪ/</x:v>
      </x:c>
      <x:c r="F1516" s="99" t="str">
        <x:v>星期二</x:v>
      </x:c>
      <x:c r="G1516" s="99" t="str">
        <x:v>64. Tuesday /ˈtjuːzdeɪ/ 星期二</x:v>
      </x:c>
    </x:row>
    <x:row r="1517" ht="18" customHeight="1">
      <x:c r="A1517" s="99" t="str">
        <x:v>T</x:v>
      </x:c>
      <x:c r="B1517" s="99" t="str">
        <x:v>名词</x:v>
      </x:c>
      <x:c r="C1517" s="99" t="n">
        <x:v>65</x:v>
      </x:c>
      <x:c r="D1517" s="99" t="str">
        <x:v>turn</x:v>
      </x:c>
      <x:c r="E1517" s="99" t="str">
        <x:v>/tɜːn/</x:v>
      </x:c>
      <x:c r="F1517" s="99" t="str">
        <x:v>轮流；顺序</x:v>
      </x:c>
      <x:c r="G1517" s="99" t="str">
        <x:v>65. turn /tɜːn/ 轮流；顺序</x:v>
      </x:c>
    </x:row>
    <x:row r="1518" ht="18" customHeight="1">
      <x:c r="A1518" s="99" t="str">
        <x:v>T</x:v>
      </x:c>
      <x:c r="B1518" s="99" t="str">
        <x:v>名词</x:v>
      </x:c>
      <x:c r="C1518" s="99" t="n">
        <x:v>66</x:v>
      </x:c>
      <x:c r="D1518" s="99" t="str">
        <x:v>TV</x:v>
      </x:c>
      <x:c r="E1518" s="99" t="str">
        <x:v>/ˌtiː ˈviː/</x:v>
      </x:c>
      <x:c r="F1518" s="99" t="str">
        <x:v>电视；电视机</x:v>
      </x:c>
      <x:c r="G1518" s="99" t="str">
        <x:v>66. TV /ˌtiː ˈviː/ 电视；电视机</x:v>
      </x:c>
    </x:row>
    <x:row r="1519" ht="18" customHeight="1">
      <x:c r="A1519" s="99" t="str">
        <x:v>T</x:v>
      </x:c>
      <x:c r="B1519" s="99" t="str">
        <x:v>名词</x:v>
      </x:c>
      <x:c r="C1519" s="99" t="n">
        <x:v>67</x:v>
      </x:c>
      <x:c r="D1519" s="99" t="str">
        <x:v>twelfth</x:v>
      </x:c>
      <x:c r="E1519" s="99" t="str">
        <x:v>/twelfθ/</x:v>
      </x:c>
      <x:c r="F1519" s="99" t="str">
        <x:v>第十二</x:v>
      </x:c>
      <x:c r="G1519" s="99" t="str">
        <x:v>67. twelfth /twelfθ/ 第十二</x:v>
      </x:c>
    </x:row>
    <x:row r="1520" ht="18" customHeight="1">
      <x:c r="A1520" s="99" t="str">
        <x:v>T</x:v>
      </x:c>
      <x:c r="B1520" s="99" t="str">
        <x:v>名词</x:v>
      </x:c>
      <x:c r="C1520" s="99" t="n">
        <x:v>68</x:v>
      </x:c>
      <x:c r="D1520" s="99" t="str">
        <x:v>twelve</x:v>
      </x:c>
      <x:c r="E1520" s="99" t="str">
        <x:v>/twelv/</x:v>
      </x:c>
      <x:c r="F1520" s="99" t="str">
        <x:v>十二</x:v>
      </x:c>
      <x:c r="G1520" s="99" t="str">
        <x:v>68. twelve /twelv/ 十二</x:v>
      </x:c>
    </x:row>
    <x:row r="1521" ht="18" customHeight="1">
      <x:c r="A1521" s="99" t="str">
        <x:v>T</x:v>
      </x:c>
      <x:c r="B1521" s="99" t="str">
        <x:v>名词</x:v>
      </x:c>
      <x:c r="C1521" s="99" t="n">
        <x:v>69</x:v>
      </x:c>
      <x:c r="D1521" s="99" t="str">
        <x:v>twentieth</x:v>
      </x:c>
      <x:c r="E1521" s="99" t="str">
        <x:v>/ˈtwentiəθ/</x:v>
      </x:c>
      <x:c r="F1521" s="99" t="str">
        <x:v>第二十</x:v>
      </x:c>
      <x:c r="G1521" s="99" t="str">
        <x:v>69. twentieth /ˈtwentiəθ/ 第二十</x:v>
      </x:c>
    </x:row>
    <x:row r="1522" ht="18" customHeight="1">
      <x:c r="A1522" s="99" t="str">
        <x:v>T</x:v>
      </x:c>
      <x:c r="B1522" s="99" t="str">
        <x:v>名词</x:v>
      </x:c>
      <x:c r="C1522" s="99" t="n">
        <x:v>70</x:v>
      </x:c>
      <x:c r="D1522" s="99" t="str">
        <x:v>twenty</x:v>
      </x:c>
      <x:c r="E1522" s="99" t="str">
        <x:v>/ˈtwenti/</x:v>
      </x:c>
      <x:c r="F1522" s="99" t="str">
        <x:v>二十</x:v>
      </x:c>
      <x:c r="G1522" s="99" t="str">
        <x:v>70. twenty /ˈtwenti/ 二十</x:v>
      </x:c>
    </x:row>
    <x:row r="1523" ht="18" customHeight="1">
      <x:c r="A1523" s="99" t="str">
        <x:v>T</x:v>
      </x:c>
      <x:c r="B1523" s="99" t="str">
        <x:v>名词</x:v>
      </x:c>
      <x:c r="C1523" s="99" t="n">
        <x:v>71</x:v>
      </x:c>
      <x:c r="D1523" s="99" t="str">
        <x:v>two</x:v>
      </x:c>
      <x:c r="E1523" s="99" t="str">
        <x:v>/tuː/</x:v>
      </x:c>
      <x:c r="F1523" s="99" t="str">
        <x:v>二</x:v>
      </x:c>
      <x:c r="G1523" s="99" t="str">
        <x:v>71. two /tuː/ 二</x:v>
      </x:c>
    </x:row>
    <x:row r="1524" ht="18" customHeight="1">
      <x:c r="A1524" s="99" t="str">
        <x:v>T</x:v>
      </x:c>
      <x:c r="B1524" s="99" t="str">
        <x:v>名词</x:v>
      </x:c>
      <x:c r="C1524" s="99" t="n">
        <x:v>72</x:v>
      </x:c>
      <x:c r="D1524" s="99" t="str">
        <x:v>type</x:v>
      </x:c>
      <x:c r="E1524" s="99" t="str">
        <x:v>/taɪp/</x:v>
      </x:c>
      <x:c r="F1524" s="99" t="str">
        <x:v>类型；种类</x:v>
      </x:c>
      <x:c r="G1524" s="99" t="str">
        <x:v>72. type /taɪp/ 类型；种类</x:v>
      </x:c>
    </x:row>
    <x:row r="1525" ht="18" customHeight="1">
      <x:c r="A1525" s="99" t="str">
        <x:v>T</x:v>
      </x:c>
      <x:c r="B1525" s="99" t="str">
        <x:v>动词</x:v>
      </x:c>
      <x:c r="C1525" s="99" t="n">
        <x:v>1</x:v>
      </x:c>
      <x:c r="D1525" s="99" t="str">
        <x:v>take</x:v>
      </x:c>
      <x:c r="E1525" s="99" t="str">
        <x:v>/teɪk/</x:v>
      </x:c>
      <x:c r="F1525" s="99" t="str">
        <x:v>拿；取；带走；乘坐；花费</x:v>
      </x:c>
      <x:c r="G1525" s="99" t="str">
        <x:v>1. take /teɪk/ 拿；取；带走；乘坐；花费</x:v>
      </x:c>
    </x:row>
    <x:row r="1526" ht="18" customHeight="1">
      <x:c r="A1526" s="99" t="str">
        <x:v>T</x:v>
      </x:c>
      <x:c r="B1526" s="99" t="str">
        <x:v>动词</x:v>
      </x:c>
      <x:c r="C1526" s="99" t="n">
        <x:v>2</x:v>
      </x:c>
      <x:c r="D1526" s="99" t="str">
        <x:v>talk</x:v>
      </x:c>
      <x:c r="E1526" s="99" t="str">
        <x:v>/tɔːk/</x:v>
      </x:c>
      <x:c r="F1526" s="99" t="str">
        <x:v>谈话；交谈；谈论</x:v>
      </x:c>
      <x:c r="G1526" s="99" t="str">
        <x:v>2. talk /tɔːk/ 谈话；交谈；谈论</x:v>
      </x:c>
    </x:row>
    <x:row r="1527" ht="18" customHeight="1">
      <x:c r="A1527" s="99" t="str">
        <x:v>T</x:v>
      </x:c>
      <x:c r="B1527" s="99" t="str">
        <x:v>动词</x:v>
      </x:c>
      <x:c r="C1527" s="99" t="n">
        <x:v>3</x:v>
      </x:c>
      <x:c r="D1527" s="99" t="str">
        <x:v>taste</x:v>
      </x:c>
      <x:c r="E1527" s="99" t="str">
        <x:v>/teɪst/</x:v>
      </x:c>
      <x:c r="F1527" s="99" t="str">
        <x:v>品尝；尝起来</x:v>
      </x:c>
      <x:c r="G1527" s="99" t="str">
        <x:v>3. taste /teɪst/ 品尝；尝起来</x:v>
      </x:c>
    </x:row>
    <x:row r="1528" ht="18" customHeight="1">
      <x:c r="A1528" s="99" t="str">
        <x:v>T</x:v>
      </x:c>
      <x:c r="B1528" s="99" t="str">
        <x:v>动词</x:v>
      </x:c>
      <x:c r="C1528" s="99" t="n">
        <x:v>4</x:v>
      </x:c>
      <x:c r="D1528" s="99" t="str">
        <x:v>teach</x:v>
      </x:c>
      <x:c r="E1528" s="99" t="str">
        <x:v>/tiːtʃ/</x:v>
      </x:c>
      <x:c r="F1528" s="99" t="str">
        <x:v>教；讲授</x:v>
      </x:c>
      <x:c r="G1528" s="99" t="str">
        <x:v>4. teach /tiːtʃ/ 教；讲授</x:v>
      </x:c>
    </x:row>
    <x:row r="1529" ht="18" customHeight="1">
      <x:c r="A1529" s="99" t="str">
        <x:v>T</x:v>
      </x:c>
      <x:c r="B1529" s="99" t="str">
        <x:v>动词</x:v>
      </x:c>
      <x:c r="C1529" s="99" t="n">
        <x:v>5</x:v>
      </x:c>
      <x:c r="D1529" s="99" t="str">
        <x:v>tell</x:v>
      </x:c>
      <x:c r="E1529" s="99" t="str">
        <x:v>/tel/</x:v>
      </x:c>
      <x:c r="F1529" s="99" t="str">
        <x:v>告诉；讲述</x:v>
      </x:c>
      <x:c r="G1529" s="99" t="str">
        <x:v>5. tell /tel/ 告诉；讲述</x:v>
      </x:c>
    </x:row>
    <x:row r="1530" ht="18" customHeight="1">
      <x:c r="A1530" s="99" t="str">
        <x:v>T</x:v>
      </x:c>
      <x:c r="B1530" s="99" t="str">
        <x:v>动词</x:v>
      </x:c>
      <x:c r="C1530" s="99" t="n">
        <x:v>6</x:v>
      </x:c>
      <x:c r="D1530" s="99" t="str">
        <x:v>think</x:v>
      </x:c>
      <x:c r="E1530" s="99" t="str">
        <x:v>/θɪŋk/</x:v>
      </x:c>
      <x:c r="F1530" s="99" t="str">
        <x:v>认为；想；思考</x:v>
      </x:c>
      <x:c r="G1530" s="99" t="str">
        <x:v>6. think /θɪŋk/ 认为；想；思考</x:v>
      </x:c>
    </x:row>
    <x:row r="1531" ht="18" customHeight="1">
      <x:c r="A1531" s="99" t="str">
        <x:v>T</x:v>
      </x:c>
      <x:c r="B1531" s="99" t="str">
        <x:v>动词</x:v>
      </x:c>
      <x:c r="C1531" s="99" t="n">
        <x:v>7</x:v>
      </x:c>
      <x:c r="D1531" s="99" t="str">
        <x:v>throw</x:v>
      </x:c>
      <x:c r="E1531" s="99" t="str">
        <x:v>/θrəʊ/</x:v>
      </x:c>
      <x:c r="F1531" s="99" t="str">
        <x:v>扔；掷；投</x:v>
      </x:c>
      <x:c r="G1531" s="99" t="str">
        <x:v>7. throw /θrəʊ/ 扔；掷；投</x:v>
      </x:c>
    </x:row>
    <x:row r="1532" ht="18" customHeight="1">
      <x:c r="A1532" s="99" t="str">
        <x:v>T</x:v>
      </x:c>
      <x:c r="B1532" s="99" t="str">
        <x:v>动词</x:v>
      </x:c>
      <x:c r="C1532" s="99" t="n">
        <x:v>8</x:v>
      </x:c>
      <x:c r="D1532" s="99" t="str">
        <x:v>touch</x:v>
      </x:c>
      <x:c r="E1532" s="99" t="str">
        <x:v>/tʌtʃ/</x:v>
      </x:c>
      <x:c r="F1532" s="99" t="str">
        <x:v>触摸；接触</x:v>
      </x:c>
      <x:c r="G1532" s="99" t="str">
        <x:v>8. touch /tʌtʃ/ 触摸；接触</x:v>
      </x:c>
    </x:row>
    <x:row r="1533" ht="18" customHeight="1">
      <x:c r="A1533" s="99" t="str">
        <x:v>T</x:v>
      </x:c>
      <x:c r="B1533" s="99" t="str">
        <x:v>动词</x:v>
      </x:c>
      <x:c r="C1533" s="99" t="n">
        <x:v>9</x:v>
      </x:c>
      <x:c r="D1533" s="99" t="str">
        <x:v>tour</x:v>
      </x:c>
      <x:c r="E1533" s="99" t="str">
        <x:v>/tʊə/</x:v>
      </x:c>
      <x:c r="F1533" s="99" t="str">
        <x:v>旅行；观光</x:v>
      </x:c>
      <x:c r="G1533" s="99" t="str">
        <x:v>9. tour /tʊə/ 旅行；观光</x:v>
      </x:c>
    </x:row>
    <x:row r="1534" ht="18" customHeight="1">
      <x:c r="A1534" s="99" t="str">
        <x:v>T</x:v>
      </x:c>
      <x:c r="B1534" s="99" t="str">
        <x:v>动词</x:v>
      </x:c>
      <x:c r="C1534" s="99" t="n">
        <x:v>10</x:v>
      </x:c>
      <x:c r="D1534" s="99" t="str">
        <x:v>train</x:v>
      </x:c>
      <x:c r="E1534" s="99" t="str">
        <x:v>/treɪn/</x:v>
      </x:c>
      <x:c r="F1534" s="99" t="str">
        <x:v>训练；培训</x:v>
      </x:c>
      <x:c r="G1534" s="99" t="str">
        <x:v>10. train /treɪn/ 训练；培训</x:v>
      </x:c>
    </x:row>
    <x:row r="1535" ht="18" customHeight="1">
      <x:c r="A1535" s="99" t="str">
        <x:v>T</x:v>
      </x:c>
      <x:c r="B1535" s="99" t="str">
        <x:v>动词</x:v>
      </x:c>
      <x:c r="C1535" s="99" t="n">
        <x:v>11</x:v>
      </x:c>
      <x:c r="D1535" s="99" t="str">
        <x:v>travel</x:v>
      </x:c>
      <x:c r="E1535" s="99" t="str">
        <x:v>/ˈtrævl/</x:v>
      </x:c>
      <x:c r="F1535" s="99" t="str">
        <x:v>旅行；游历</x:v>
      </x:c>
      <x:c r="G1535" s="99" t="str">
        <x:v>11. travel /ˈtrævl/ 旅行；游历</x:v>
      </x:c>
    </x:row>
    <x:row r="1536" ht="18" customHeight="1">
      <x:c r="A1536" s="99" t="str">
        <x:v>T</x:v>
      </x:c>
      <x:c r="B1536" s="99" t="str">
        <x:v>动词</x:v>
      </x:c>
      <x:c r="C1536" s="99" t="n">
        <x:v>12</x:v>
      </x:c>
      <x:c r="D1536" s="99" t="str">
        <x:v>treat</x:v>
      </x:c>
      <x:c r="E1536" s="99" t="str">
        <x:v>/triːt/</x:v>
      </x:c>
      <x:c r="F1536" s="99" t="str">
        <x:v>对待；看待；治疗</x:v>
      </x:c>
      <x:c r="G1536" s="99" t="str">
        <x:v>12. treat /triːt/ 对待；看待；治疗</x:v>
      </x:c>
    </x:row>
    <x:row r="1537" ht="18" customHeight="1">
      <x:c r="A1537" s="99" t="str">
        <x:v>T</x:v>
      </x:c>
      <x:c r="B1537" s="99" t="str">
        <x:v>动词</x:v>
      </x:c>
      <x:c r="C1537" s="99" t="n">
        <x:v>13</x:v>
      </x:c>
      <x:c r="D1537" s="99" t="str">
        <x:v>trust</x:v>
      </x:c>
      <x:c r="E1537" s="99" t="str">
        <x:v>/trʌst/</x:v>
      </x:c>
      <x:c r="F1537" s="99" t="str">
        <x:v>信任；信赖</x:v>
      </x:c>
      <x:c r="G1537" s="99" t="str">
        <x:v>13. trust /trʌst/ 信任；信赖</x:v>
      </x:c>
    </x:row>
    <x:row r="1538" ht="18" customHeight="1">
      <x:c r="A1538" s="99" t="str">
        <x:v>T</x:v>
      </x:c>
      <x:c r="B1538" s="99" t="str">
        <x:v>动词</x:v>
      </x:c>
      <x:c r="C1538" s="99" t="n">
        <x:v>14</x:v>
      </x:c>
      <x:c r="D1538" s="99" t="str">
        <x:v>try</x:v>
      </x:c>
      <x:c r="E1538" s="99" t="str">
        <x:v>/traɪ/</x:v>
      </x:c>
      <x:c r="F1538" s="99" t="str">
        <x:v>尝试；努力；试</x:v>
      </x:c>
      <x:c r="G1538" s="99" t="str">
        <x:v>14. try /traɪ/ 尝试；努力；试</x:v>
      </x:c>
    </x:row>
    <x:row r="1539" ht="18" customHeight="1">
      <x:c r="A1539" s="99" t="str">
        <x:v>T</x:v>
      </x:c>
      <x:c r="B1539" s="99" t="str">
        <x:v>动词</x:v>
      </x:c>
      <x:c r="C1539" s="99" t="n">
        <x:v>15</x:v>
      </x:c>
      <x:c r="D1539" s="99" t="str">
        <x:v>turn</x:v>
      </x:c>
      <x:c r="E1539" s="99" t="str">
        <x:v>/tɜːn/</x:v>
      </x:c>
      <x:c r="F1539" s="99" t="str">
        <x:v>转动；转向；变得</x:v>
      </x:c>
      <x:c r="G1539" s="99" t="str">
        <x:v>15. turn /tɜːn/ 转动；转向；变得</x:v>
      </x:c>
    </x:row>
    <x:row r="1540" ht="18" customHeight="1">
      <x:c r="A1540" s="99" t="str">
        <x:v>T</x:v>
      </x:c>
      <x:c r="B1540" s="99" t="str">
        <x:v>动词</x:v>
      </x:c>
      <x:c r="C1540" s="99" t="n">
        <x:v>16</x:v>
      </x:c>
      <x:c r="D1540" s="99" t="str">
        <x:v>type</x:v>
      </x:c>
      <x:c r="E1540" s="99" t="str">
        <x:v>/taɪp/</x:v>
      </x:c>
      <x:c r="F1540" s="99" t="str">
        <x:v>打字；输入</x:v>
      </x:c>
      <x:c r="G1540" s="99" t="str">
        <x:v>16. type /taɪp/ 打字；输入</x:v>
      </x:c>
    </x:row>
    <x:row r="1541" ht="18" customHeight="1">
      <x:c r="A1541" s="99" t="str">
        <x:v>T</x:v>
      </x:c>
      <x:c r="B1541" s="99" t="str">
        <x:v>形容词</x:v>
      </x:c>
      <x:c r="C1541" s="99" t="n">
        <x:v>1</x:v>
      </x:c>
      <x:c r="D1541" s="99" t="str">
        <x:v>tall</x:v>
      </x:c>
      <x:c r="E1541" s="99" t="str">
        <x:v>/tɔːl/</x:v>
      </x:c>
      <x:c r="F1541" s="99" t="str">
        <x:v>高的</x:v>
      </x:c>
      <x:c r="G1541" s="99" t="str">
        <x:v>1. tall /tɔːl/ 高的</x:v>
      </x:c>
    </x:row>
    <x:row r="1542" ht="18" customHeight="1">
      <x:c r="A1542" s="99" t="str">
        <x:v>T</x:v>
      </x:c>
      <x:c r="B1542" s="99" t="str">
        <x:v>形容词</x:v>
      </x:c>
      <x:c r="C1542" s="99" t="n">
        <x:v>2</x:v>
      </x:c>
      <x:c r="D1542" s="99" t="str">
        <x:v>tasty</x:v>
      </x:c>
      <x:c r="E1542" s="99" t="str">
        <x:v>/ˈteɪsti/</x:v>
      </x:c>
      <x:c r="F1542" s="99" t="str">
        <x:v>美味的；可口的</x:v>
      </x:c>
      <x:c r="G1542" s="99" t="str">
        <x:v>2. tasty /ˈteɪsti/ 美味的；可口的</x:v>
      </x:c>
    </x:row>
    <x:row r="1543" ht="18" customHeight="1">
      <x:c r="A1543" s="99" t="str">
        <x:v>T</x:v>
      </x:c>
      <x:c r="B1543" s="99" t="str">
        <x:v>形容词</x:v>
      </x:c>
      <x:c r="C1543" s="99" t="n">
        <x:v>3</x:v>
      </x:c>
      <x:c r="D1543" s="99" t="str">
        <x:v>terrible</x:v>
      </x:c>
      <x:c r="E1543" s="99" t="str">
        <x:v>/ˈterəbl/</x:v>
      </x:c>
      <x:c r="F1543" s="99" t="str">
        <x:v>可怕的；糟糕的</x:v>
      </x:c>
      <x:c r="G1543" s="99" t="str">
        <x:v>3. terrible /ˈterəbl/ 可怕的；糟糕的</x:v>
      </x:c>
    </x:row>
    <x:row r="1544" ht="18" customHeight="1">
      <x:c r="A1544" s="99" t="str">
        <x:v>T</x:v>
      </x:c>
      <x:c r="B1544" s="99" t="str">
        <x:v>形容词</x:v>
      </x:c>
      <x:c r="C1544" s="99" t="n">
        <x:v>4</x:v>
      </x:c>
      <x:c r="D1544" s="99" t="str">
        <x:v>thin</x:v>
      </x:c>
      <x:c r="E1544" s="99" t="str">
        <x:v>/θɪn/</x:v>
      </x:c>
      <x:c r="F1544" s="99" t="str">
        <x:v>薄的；瘦的</x:v>
      </x:c>
      <x:c r="G1544" s="99" t="str">
        <x:v>4. thin /θɪn/ 薄的；瘦的</x:v>
      </x:c>
    </x:row>
    <x:row r="1545" ht="18" customHeight="1">
      <x:c r="A1545" s="99" t="str">
        <x:v>T</x:v>
      </x:c>
      <x:c r="B1545" s="99" t="str">
        <x:v>形容词</x:v>
      </x:c>
      <x:c r="C1545" s="99" t="n">
        <x:v>5</x:v>
      </x:c>
      <x:c r="D1545" s="99" t="str">
        <x:v>thirsty</x:v>
      </x:c>
      <x:c r="E1545" s="99" t="str">
        <x:v>/ˈθɜːsti/</x:v>
      </x:c>
      <x:c r="F1545" s="99" t="str">
        <x:v>口渴的</x:v>
      </x:c>
      <x:c r="G1545" s="99" t="str">
        <x:v>5. thirsty /ˈθɜːsti/ 口渴的</x:v>
      </x:c>
    </x:row>
    <x:row r="1546" ht="18" customHeight="1">
      <x:c r="A1546" s="99" t="str">
        <x:v>T</x:v>
      </x:c>
      <x:c r="B1546" s="99" t="str">
        <x:v>形容词</x:v>
      </x:c>
      <x:c r="C1546" s="99" t="n">
        <x:v>6</x:v>
      </x:c>
      <x:c r="D1546" s="99" t="str">
        <x:v>tired</x:v>
      </x:c>
      <x:c r="E1546" s="99" t="str">
        <x:v>/ˈtaɪəd/</x:v>
      </x:c>
      <x:c r="F1546" s="99" t="str">
        <x:v>疲劳的；累的</x:v>
      </x:c>
      <x:c r="G1546" s="99" t="str">
        <x:v>6. tired /ˈtaɪəd/ 疲劳的；累的</x:v>
      </x:c>
    </x:row>
    <x:row r="1547" ht="18" customHeight="1">
      <x:c r="A1547" s="99" t="str">
        <x:v>T</x:v>
      </x:c>
      <x:c r="B1547" s="99" t="str">
        <x:v>形容词</x:v>
      </x:c>
      <x:c r="C1547" s="99" t="n">
        <x:v>7</x:v>
      </x:c>
      <x:c r="D1547" s="99" t="str">
        <x:v>true</x:v>
      </x:c>
      <x:c r="E1547" s="99" t="str">
        <x:v>/truː/</x:v>
      </x:c>
      <x:c r="F1547" s="99" t="str">
        <x:v>真实的；正确的；忠诚的</x:v>
      </x:c>
      <x:c r="G1547" s="99" t="str">
        <x:v>7. true /truː/ 真实的；正确的；忠诚的</x:v>
      </x:c>
    </x:row>
    <x:row r="1548" ht="18" customHeight="1">
      <x:c r="A1548" s="99" t="str">
        <x:v>T</x:v>
      </x:c>
      <x:c r="B1548" s="99" t="str">
        <x:v>形容词</x:v>
      </x:c>
      <x:c r="C1548" s="99" t="n">
        <x:v>8</x:v>
      </x:c>
      <x:c r="D1548" s="99" t="str">
        <x:v>traditional</x:v>
      </x:c>
      <x:c r="E1548" s="99" t="str">
        <x:v>/trəˈdɪʃənl/</x:v>
      </x:c>
      <x:c r="F1548" s="99" t="str">
        <x:v>传统的；习俗的</x:v>
      </x:c>
      <x:c r="G1548" s="99" t="str">
        <x:v>8. traditional /trəˈdɪʃənl/ 传统的；习俗的</x:v>
      </x:c>
    </x:row>
    <x:row r="1549" ht="18" customHeight="1">
      <x:c r="A1549" s="99" t="str">
        <x:v>T</x:v>
      </x:c>
      <x:c r="B1549" s="99" t="str">
        <x:v>副词</x:v>
      </x:c>
      <x:c r="C1549" s="99" t="n">
        <x:v>1</x:v>
      </x:c>
      <x:c r="D1549" s="99" t="str">
        <x:v>there</x:v>
      </x:c>
      <x:c r="E1549" s="99" t="str">
        <x:v>/ðeə/</x:v>
      </x:c>
      <x:c r="F1549" s="99" t="str">
        <x:v>在那里；往那里</x:v>
      </x:c>
      <x:c r="G1549" s="99" t="str">
        <x:v>1. there /ðeə/ 在那里；往那里</x:v>
      </x:c>
    </x:row>
    <x:row r="1550" ht="18" customHeight="1">
      <x:c r="A1550" s="99" t="str">
        <x:v>T</x:v>
      </x:c>
      <x:c r="B1550" s="99" t="str">
        <x:v>副词</x:v>
      </x:c>
      <x:c r="C1550" s="99" t="n">
        <x:v>2</x:v>
      </x:c>
      <x:c r="D1550" s="99" t="str">
        <x:v>today</x:v>
      </x:c>
      <x:c r="E1550" s="99" t="str">
        <x:v>/təˈdeɪ/</x:v>
      </x:c>
      <x:c r="F1550" s="99" t="str">
        <x:v>今天；如今</x:v>
      </x:c>
      <x:c r="G1550" s="99" t="str">
        <x:v>2. today /təˈdeɪ/ 今天；如今</x:v>
      </x:c>
    </x:row>
    <x:row r="1551" ht="18" customHeight="1">
      <x:c r="A1551" s="99" t="str">
        <x:v>T</x:v>
      </x:c>
      <x:c r="B1551" s="99" t="str">
        <x:v>副词</x:v>
      </x:c>
      <x:c r="C1551" s="99" t="n">
        <x:v>3</x:v>
      </x:c>
      <x:c r="D1551" s="99" t="str">
        <x:v>together</x:v>
      </x:c>
      <x:c r="E1551" s="99" t="str">
        <x:v>/təˈɡeðə/</x:v>
      </x:c>
      <x:c r="F1551" s="99" t="str">
        <x:v>一起；共同</x:v>
      </x:c>
      <x:c r="G1551" s="99" t="str">
        <x:v>3. together /təˈɡeðə/ 一起；共同</x:v>
      </x:c>
    </x:row>
    <x:row r="1552" ht="18" customHeight="1">
      <x:c r="A1552" s="99" t="str">
        <x:v>T</x:v>
      </x:c>
      <x:c r="B1552" s="99" t="str">
        <x:v>副词</x:v>
      </x:c>
      <x:c r="C1552" s="99" t="n">
        <x:v>4</x:v>
      </x:c>
      <x:c r="D1552" s="99" t="str">
        <x:v>too</x:v>
      </x:c>
      <x:c r="E1552" s="99" t="str">
        <x:v>/tuː/</x:v>
      </x:c>
      <x:c r="F1552" s="99" t="str">
        <x:v>也；太；过于</x:v>
      </x:c>
      <x:c r="G1552" s="99" t="str">
        <x:v>4. too /tuː/ 也；太；过于</x:v>
      </x:c>
    </x:row>
    <x:row r="1553" ht="18" customHeight="1">
      <x:c r="A1553" s="99" t="str">
        <x:v>T</x:v>
      </x:c>
      <x:c r="B1553" s="99" t="str">
        <x:v>副词</x:v>
      </x:c>
      <x:c r="C1553" s="99" t="n">
        <x:v>5</x:v>
      </x:c>
      <x:c r="D1553" s="99" t="str">
        <x:v>twice</x:v>
      </x:c>
      <x:c r="E1553" s="99" t="str">
        <x:v>/twaɪs/</x:v>
      </x:c>
      <x:c r="F1553" s="99" t="str">
        <x:v>两次；两倍</x:v>
      </x:c>
      <x:c r="G1553" s="99" t="str">
        <x:v>5. twice /twaɪs/ 两次；两倍</x:v>
      </x:c>
    </x:row>
    <x:row r="1554" ht="18" customHeight="1">
      <x:c r="A1554" s="99" t="str">
        <x:v>T</x:v>
      </x:c>
      <x:c r="B1554" s="99" t="str">
        <x:v>代词</x:v>
      </x:c>
      <x:c r="C1554" s="99" t="n">
        <x:v>1</x:v>
      </x:c>
      <x:c r="D1554" s="99" t="str">
        <x:v>that</x:v>
      </x:c>
      <x:c r="E1554" s="99" t="str">
        <x:v>/ðæt/</x:v>
      </x:c>
      <x:c r="F1554" s="99" t="str">
        <x:v>那；那个</x:v>
      </x:c>
      <x:c r="G1554" s="99" t="str">
        <x:v>1. that /ðæt/ 那；那个</x:v>
      </x:c>
    </x:row>
    <x:row r="1555" ht="18" customHeight="1">
      <x:c r="A1555" s="99" t="str">
        <x:v>T</x:v>
      </x:c>
      <x:c r="B1555" s="99" t="str">
        <x:v>代词</x:v>
      </x:c>
      <x:c r="C1555" s="99" t="n">
        <x:v>2</x:v>
      </x:c>
      <x:c r="D1555" s="99" t="str">
        <x:v>the</x:v>
      </x:c>
      <x:c r="E1555" s="99" t="str">
        <x:v>/ðə; ðiː/</x:v>
      </x:c>
      <x:c r="F1555" s="99" t="str">
        <x:v>（定冠词，不列代词）</x:v>
      </x:c>
      <x:c r="G1555" s="99" t="str">
        <x:v>2. the /ðə; ðiː/ （定冠词，不列代词）</x:v>
      </x:c>
    </x:row>
    <x:row r="1556" ht="18" customHeight="1">
      <x:c r="A1556" s="99" t="str">
        <x:v>T</x:v>
      </x:c>
      <x:c r="B1556" s="99" t="str">
        <x:v>代词</x:v>
      </x:c>
      <x:c r="C1556" s="99" t="n">
        <x:v>3</x:v>
      </x:c>
      <x:c r="D1556" s="99" t="str">
        <x:v>their</x:v>
      </x:c>
      <x:c r="E1556" s="99" t="str">
        <x:v>/ðeə/</x:v>
      </x:c>
      <x:c r="F1556" s="99" t="str">
        <x:v>他们的；她们的；它们的</x:v>
      </x:c>
      <x:c r="G1556" s="99" t="str">
        <x:v>3. their /ðeə/ 他们的；她们的；它们的</x:v>
      </x:c>
    </x:row>
    <x:row r="1557" ht="18" customHeight="1">
      <x:c r="A1557" s="99" t="str">
        <x:v>T</x:v>
      </x:c>
      <x:c r="B1557" s="99" t="str">
        <x:v>代词</x:v>
      </x:c>
      <x:c r="C1557" s="99" t="n">
        <x:v>4</x:v>
      </x:c>
      <x:c r="D1557" s="99" t="str">
        <x:v>theirs</x:v>
      </x:c>
      <x:c r="E1557" s="99" t="str">
        <x:v>/ðeəz/</x:v>
      </x:c>
      <x:c r="F1557" s="99" t="str">
        <x:v>他们的；她们的；它们的（名词性物主代词）</x:v>
      </x:c>
      <x:c r="G1557" s="99" t="str">
        <x:v>4. theirs /ðeəz/ 他们的；她们的；它们的（名词性物主代词）</x:v>
      </x:c>
    </x:row>
    <x:row r="1558" ht="18" customHeight="1">
      <x:c r="A1558" s="99" t="str">
        <x:v>T</x:v>
      </x:c>
      <x:c r="B1558" s="99" t="str">
        <x:v>代词</x:v>
      </x:c>
      <x:c r="C1558" s="99" t="n">
        <x:v>5</x:v>
      </x:c>
      <x:c r="D1558" s="99" t="str">
        <x:v>them</x:v>
      </x:c>
      <x:c r="E1558" s="99" t="str">
        <x:v>/ðəm/</x:v>
      </x:c>
      <x:c r="F1558" s="99" t="str">
        <x:v>他们；她们；它们（宾格）</x:v>
      </x:c>
      <x:c r="G1558" s="99" t="str">
        <x:v>5. them /ðəm/ 他们；她们；它们（宾格）</x:v>
      </x:c>
    </x:row>
    <x:row r="1559" ht="18" customHeight="1">
      <x:c r="A1559" s="99" t="str">
        <x:v>T</x:v>
      </x:c>
      <x:c r="B1559" s="99" t="str">
        <x:v>代词</x:v>
      </x:c>
      <x:c r="C1559" s="99" t="n">
        <x:v>6</x:v>
      </x:c>
      <x:c r="D1559" s="99" t="str">
        <x:v>themselves</x:v>
      </x:c>
      <x:c r="E1559" s="99" t="str">
        <x:v>/ðəmˈselvz/</x:v>
      </x:c>
      <x:c r="F1559" s="99" t="str">
        <x:v>他们自己；她们自己；它们自己</x:v>
      </x:c>
      <x:c r="G1559" s="99" t="str">
        <x:v>6. themselves /ðəmˈselvz/ 他们自己；她们自己；它们自己</x:v>
      </x:c>
    </x:row>
    <x:row r="1560" ht="18" customHeight="1">
      <x:c r="A1560" s="99" t="str">
        <x:v>T</x:v>
      </x:c>
      <x:c r="B1560" s="99" t="str">
        <x:v>代词</x:v>
      </x:c>
      <x:c r="C1560" s="99" t="n">
        <x:v>7</x:v>
      </x:c>
      <x:c r="D1560" s="99" t="str">
        <x:v>these</x:v>
      </x:c>
      <x:c r="E1560" s="99" t="str">
        <x:v>/ðiːz/</x:v>
      </x:c>
      <x:c r="F1560" s="99" t="str">
        <x:v>这些</x:v>
      </x:c>
      <x:c r="G1560" s="99" t="str">
        <x:v>7. these /ðiːz/ 这些</x:v>
      </x:c>
    </x:row>
    <x:row r="1561" ht="18" customHeight="1">
      <x:c r="A1561" s="99" t="str">
        <x:v>T</x:v>
      </x:c>
      <x:c r="B1561" s="99" t="str">
        <x:v>代词</x:v>
      </x:c>
      <x:c r="C1561" s="99" t="n">
        <x:v>8</x:v>
      </x:c>
      <x:c r="D1561" s="99" t="str">
        <x:v>they</x:v>
      </x:c>
      <x:c r="E1561" s="99" t="str">
        <x:v>/ðeɪ/</x:v>
      </x:c>
      <x:c r="F1561" s="99" t="str">
        <x:v>他们；她们；它们（主格）</x:v>
      </x:c>
      <x:c r="G1561" s="99" t="str">
        <x:v>8. they /ðeɪ/ 他们；她们；它们（主格）</x:v>
      </x:c>
    </x:row>
    <x:row r="1562" ht="18" customHeight="1">
      <x:c r="A1562" s="99" t="str">
        <x:v>T</x:v>
      </x:c>
      <x:c r="B1562" s="99" t="str">
        <x:v>代词</x:v>
      </x:c>
      <x:c r="C1562" s="99" t="n">
        <x:v>9</x:v>
      </x:c>
      <x:c r="D1562" s="99" t="str">
        <x:v>this</x:v>
      </x:c>
      <x:c r="E1562" s="99" t="str">
        <x:v>/ðɪs/</x:v>
      </x:c>
      <x:c r="F1562" s="99" t="str">
        <x:v>这；这个</x:v>
      </x:c>
      <x:c r="G1562" s="99" t="str">
        <x:v>9. this /ðɪs/ 这；这个</x:v>
      </x:c>
    </x:row>
    <x:row r="1563" ht="18" customHeight="1">
      <x:c r="A1563" s="99" t="str">
        <x:v>T</x:v>
      </x:c>
      <x:c r="B1563" s="99" t="str">
        <x:v>代词</x:v>
      </x:c>
      <x:c r="C1563" s="99" t="n">
        <x:v>10</x:v>
      </x:c>
      <x:c r="D1563" s="99" t="str">
        <x:v>those</x:v>
      </x:c>
      <x:c r="E1563" s="99" t="str">
        <x:v>/ðəʊz/</x:v>
      </x:c>
      <x:c r="F1563" s="99" t="str">
        <x:v>那些</x:v>
      </x:c>
      <x:c r="G1563" s="99" t="str">
        <x:v>10. those /ðəʊz/ 那些</x:v>
      </x:c>
    </x:row>
    <x:row r="1564" ht="18" customHeight="1">
      <x:c r="A1564" s="99" t="str">
        <x:v>T</x:v>
      </x:c>
      <x:c r="B1564" s="99" t="str">
        <x:v>介词</x:v>
      </x:c>
      <x:c r="C1564" s="99" t="n">
        <x:v>1</x:v>
      </x:c>
      <x:c r="D1564" s="99" t="str">
        <x:v>through</x:v>
      </x:c>
      <x:c r="E1564" s="99" t="str">
        <x:v>/θruː/</x:v>
      </x:c>
      <x:c r="F1564" s="99" t="str">
        <x:v>穿过；通过</x:v>
      </x:c>
      <x:c r="G1564" s="99" t="str">
        <x:v>1. through /θruː/ 穿过；通过</x:v>
      </x:c>
    </x:row>
    <x:row r="1565" ht="18" customHeight="1">
      <x:c r="A1565" s="99" t="str">
        <x:v>T</x:v>
      </x:c>
      <x:c r="B1565" s="99" t="str">
        <x:v>介词</x:v>
      </x:c>
      <x:c r="C1565" s="99" t="n">
        <x:v>2</x:v>
      </x:c>
      <x:c r="D1565" s="99" t="str">
        <x:v>to</x:v>
      </x:c>
      <x:c r="E1565" s="99" t="str">
        <x:v>/tuː/</x:v>
      </x:c>
      <x:c r="F1565" s="99" t="str">
        <x:v>向；到；往</x:v>
      </x:c>
      <x:c r="G1565" s="99" t="str">
        <x:v>2. to /tuː/ 向；到；往</x:v>
      </x:c>
    </x:row>
    <x:row r="1566" ht="18" customHeight="1">
      <x:c r="A1566" s="99" t="str">
        <x:v>T</x:v>
      </x:c>
      <x:c r="B1566" s="99" t="str">
        <x:v>介词</x:v>
      </x:c>
      <x:c r="C1566" s="99" t="n">
        <x:v>3</x:v>
      </x:c>
      <x:c r="D1566" s="99" t="str">
        <x:v>towards</x:v>
      </x:c>
      <x:c r="E1566" s="99" t="str">
        <x:v>/təˈwɔːdz/</x:v>
      </x:c>
      <x:c r="F1566" s="99" t="str">
        <x:v>朝；向；对于</x:v>
      </x:c>
      <x:c r="G1566" s="99" t="str">
        <x:v>3. towards /təˈwɔːdz/ 朝；向；对于</x:v>
      </x:c>
    </x:row>
    <x:row r="1567" ht="18" customHeight="1">
      <x:c r="A1567" s="99" t="str">
        <x:v>T</x:v>
      </x:c>
      <x:c r="B1567" s="99" t="str">
        <x:v>连词</x:v>
      </x:c>
      <x:c r="C1567" s="99" t="n">
        <x:v>1</x:v>
      </x:c>
      <x:c r="D1567" s="99" t="str">
        <x:v>than</x:v>
      </x:c>
      <x:c r="E1567" s="99" t="str">
        <x:v>/ðæn/</x:v>
      </x:c>
      <x:c r="F1567" s="99" t="str">
        <x:v>比</x:v>
      </x:c>
      <x:c r="G1567" s="99" t="str">
        <x:v>1. than /ðæn/ 比</x:v>
      </x:c>
    </x:row>
    <x:row r="1568" ht="18" customHeight="1">
      <x:c r="A1568" s="99" t="str">
        <x:v>T</x:v>
      </x:c>
      <x:c r="B1568" s="99" t="str">
        <x:v>连词</x:v>
      </x:c>
      <x:c r="C1568" s="99" t="n">
        <x:v>2</x:v>
      </x:c>
      <x:c r="D1568" s="99" t="str">
        <x:v>though</x:v>
      </x:c>
      <x:c r="E1568" s="99" t="str">
        <x:v>/ðəʊ/</x:v>
      </x:c>
      <x:c r="F1568" s="99" t="str">
        <x:v>虽然；尽管</x:v>
      </x:c>
      <x:c r="G1568" s="99" t="str">
        <x:v>2. though /ðəʊ/ 虽然；尽管</x:v>
      </x:c>
    </x:row>
    <x:row r="1569" ht="18" customHeight="1">
      <x:c r="A1569" s="99" t="str">
        <x:v>T</x:v>
      </x:c>
      <x:c r="B1569" s="99" t="str">
        <x:v>连词</x:v>
      </x:c>
      <x:c r="C1569" s="99" t="n">
        <x:v>3</x:v>
      </x:c>
      <x:c r="D1569" s="99" t="str">
        <x:v>till</x:v>
      </x:c>
      <x:c r="E1569" s="99" t="str">
        <x:v>/tɪl/</x:v>
      </x:c>
      <x:c r="F1569" s="99" t="str">
        <x:v>直到……为止</x:v>
      </x:c>
      <x:c r="G1569" s="99" t="str">
        <x:v>3. till /tɪl/ 直到……为止</x:v>
      </x:c>
    </x:row>
    <x:row r="1570" ht="18" customHeight="1">
      <x:c r="A1570" s="99" t="str">
        <x:v>T</x:v>
      </x:c>
      <x:c r="B1570" s="99" t="str">
        <x:v>数词</x:v>
      </x:c>
      <x:c r="C1570" s="99" t="n">
        <x:v>1</x:v>
      </x:c>
      <x:c r="D1570" s="99" t="str">
        <x:v>ten</x:v>
      </x:c>
      <x:c r="E1570" s="99" t="str">
        <x:v>/ten/</x:v>
      </x:c>
      <x:c r="F1570" s="99" t="str">
        <x:v>十</x:v>
      </x:c>
      <x:c r="G1570" s="99" t="str">
        <x:v>1. ten /ten/ 十</x:v>
      </x:c>
    </x:row>
    <x:row r="1571" ht="18" customHeight="1">
      <x:c r="A1571" s="99" t="str">
        <x:v>T</x:v>
      </x:c>
      <x:c r="B1571" s="99" t="str">
        <x:v>数词</x:v>
      </x:c>
      <x:c r="C1571" s="99" t="n">
        <x:v>2</x:v>
      </x:c>
      <x:c r="D1571" s="99" t="str">
        <x:v>thirteen</x:v>
      </x:c>
      <x:c r="E1571" s="99" t="str">
        <x:v>/ˌθɜːˈtiːn/</x:v>
      </x:c>
      <x:c r="F1571" s="99" t="str">
        <x:v>十三</x:v>
      </x:c>
      <x:c r="G1571" s="99" t="str">
        <x:v>2. thirteen /ˌθɜːˈtiːn/ 十三</x:v>
      </x:c>
    </x:row>
    <x:row r="1572" ht="18" customHeight="1">
      <x:c r="A1572" s="99" t="str">
        <x:v>T</x:v>
      </x:c>
      <x:c r="B1572" s="99" t="str">
        <x:v>数词</x:v>
      </x:c>
      <x:c r="C1572" s="99" t="n">
        <x:v>3</x:v>
      </x:c>
      <x:c r="D1572" s="99" t="str">
        <x:v>thirty</x:v>
      </x:c>
      <x:c r="E1572" s="99" t="str">
        <x:v>/ˈθɜːti/</x:v>
      </x:c>
      <x:c r="F1572" s="99" t="str">
        <x:v>三十</x:v>
      </x:c>
      <x:c r="G1572" s="99" t="str">
        <x:v>3. thirty /ˈθɜːti/ 三十</x:v>
      </x:c>
    </x:row>
    <x:row r="1573" ht="18" customHeight="1">
      <x:c r="A1573" s="99" t="str">
        <x:v>T</x:v>
      </x:c>
      <x:c r="B1573" s="99" t="str">
        <x:v>数词</x:v>
      </x:c>
      <x:c r="C1573" s="99" t="n">
        <x:v>4</x:v>
      </x:c>
      <x:c r="D1573" s="99" t="str">
        <x:v>thousand</x:v>
      </x:c>
      <x:c r="E1573" s="99" t="str">
        <x:v>/ˈθaʊzənd/</x:v>
      </x:c>
      <x:c r="F1573" s="99" t="str">
        <x:v>千</x:v>
      </x:c>
      <x:c r="G1573" s="99" t="str">
        <x:v>4. thousand /ˈθaʊzənd/ 千</x:v>
      </x:c>
    </x:row>
    <x:row r="1574" ht="18" customHeight="1">
      <x:c r="A1574" s="99" t="str">
        <x:v>T</x:v>
      </x:c>
      <x:c r="B1574" s="99" t="str">
        <x:v>数词</x:v>
      </x:c>
      <x:c r="C1574" s="99" t="n">
        <x:v>5</x:v>
      </x:c>
      <x:c r="D1574" s="99" t="str">
        <x:v>three</x:v>
      </x:c>
      <x:c r="E1574" s="99" t="str">
        <x:v>/θriː/</x:v>
      </x:c>
      <x:c r="F1574" s="99" t="str">
        <x:v>三</x:v>
      </x:c>
      <x:c r="G1574" s="99" t="str">
        <x:v>5. three /θriː/ 三</x:v>
      </x:c>
    </x:row>
    <x:row r="1575" ht="18" customHeight="1">
      <x:c r="A1575" s="99" t="str">
        <x:v>T</x:v>
      </x:c>
      <x:c r="B1575" s="99" t="str">
        <x:v>数词</x:v>
      </x:c>
      <x:c r="C1575" s="99" t="n">
        <x:v>6</x:v>
      </x:c>
      <x:c r="D1575" s="99" t="str">
        <x:v>twelfth</x:v>
      </x:c>
      <x:c r="E1575" s="99" t="str">
        <x:v>/twelfθ/</x:v>
      </x:c>
      <x:c r="F1575" s="99" t="str">
        <x:v>第十二</x:v>
      </x:c>
      <x:c r="G1575" s="99" t="str">
        <x:v>6. twelfth /twelfθ/ 第十二</x:v>
      </x:c>
    </x:row>
    <x:row r="1576" ht="18" customHeight="1">
      <x:c r="A1576" s="99" t="str">
        <x:v>T</x:v>
      </x:c>
      <x:c r="B1576" s="99" t="str">
        <x:v>数词</x:v>
      </x:c>
      <x:c r="C1576" s="99" t="n">
        <x:v>7</x:v>
      </x:c>
      <x:c r="D1576" s="99" t="str">
        <x:v>twelve</x:v>
      </x:c>
      <x:c r="E1576" s="99" t="str">
        <x:v>/twelv/</x:v>
      </x:c>
      <x:c r="F1576" s="99" t="str">
        <x:v>十二</x:v>
      </x:c>
      <x:c r="G1576" s="99" t="str">
        <x:v>7. twelve /twelv/ 十二</x:v>
      </x:c>
    </x:row>
    <x:row r="1577" ht="18" customHeight="1">
      <x:c r="A1577" s="99" t="str">
        <x:v>T</x:v>
      </x:c>
      <x:c r="B1577" s="99" t="str">
        <x:v>数词</x:v>
      </x:c>
      <x:c r="C1577" s="99" t="n">
        <x:v>8</x:v>
      </x:c>
      <x:c r="D1577" s="99" t="str">
        <x:v>twentieth</x:v>
      </x:c>
      <x:c r="E1577" s="99" t="str">
        <x:v>/ˈtwentiəθ/</x:v>
      </x:c>
      <x:c r="F1577" s="99" t="str">
        <x:v>第二十</x:v>
      </x:c>
      <x:c r="G1577" s="99" t="str">
        <x:v>8. twentieth /ˈtwentiəθ/ 第二十</x:v>
      </x:c>
    </x:row>
    <x:row r="1578" ht="18" customHeight="1">
      <x:c r="A1578" s="99" t="str">
        <x:v>T</x:v>
      </x:c>
      <x:c r="B1578" s="99" t="str">
        <x:v>数词</x:v>
      </x:c>
      <x:c r="C1578" s="99" t="n">
        <x:v>9</x:v>
      </x:c>
      <x:c r="D1578" s="99" t="str">
        <x:v>twenty</x:v>
      </x:c>
      <x:c r="E1578" s="99" t="str">
        <x:v>/ˈtwenti/</x:v>
      </x:c>
      <x:c r="F1578" s="99" t="str">
        <x:v>二十</x:v>
      </x:c>
      <x:c r="G1578" s="99" t="str">
        <x:v>9. twenty /ˈtwenti/ 二十</x:v>
      </x:c>
    </x:row>
    <x:row r="1579" ht="18" customHeight="1">
      <x:c r="A1579" s="99" t="str">
        <x:v>T</x:v>
      </x:c>
      <x:c r="B1579" s="99" t="str">
        <x:v>数词</x:v>
      </x:c>
      <x:c r="C1579" s="99" t="n">
        <x:v>10</x:v>
      </x:c>
      <x:c r="D1579" s="99" t="str">
        <x:v>two</x:v>
      </x:c>
      <x:c r="E1579" s="99" t="str">
        <x:v>/tuː/</x:v>
      </x:c>
      <x:c r="F1579" s="99" t="str">
        <x:v>二</x:v>
      </x:c>
      <x:c r="G1579" s="99" t="str">
        <x:v>10. two /tuː/ 二</x:v>
      </x:c>
    </x:row>
    <x:row r="1580" ht="18" customHeight="1">
      <x:c r="A1580" s="99" t="str">
        <x:v>T</x:v>
      </x:c>
      <x:c r="B1580" s="99" t="str">
        <x:v>短语</x:v>
      </x:c>
      <x:c r="C1580" s="99" t="n">
        <x:v>1</x:v>
      </x:c>
      <x:c r="D1580" s="99" t="str">
        <x:v>a</x:v>
      </x:c>
      <x:c r="E1580" s="99" t="str"/>
      <x:c r="F1580" s="99" t="str">
        <x:v>bit tired 有点累</x:v>
      </x:c>
      <x:c r="G1580" s="99" t="str">
        <x:v>1. a bit tired 有点累</x:v>
      </x:c>
    </x:row>
    <x:row r="1581" ht="18" customHeight="1">
      <x:c r="A1581" s="99" t="str">
        <x:v>T</x:v>
      </x:c>
      <x:c r="B1581" s="99" t="str">
        <x:v>短语</x:v>
      </x:c>
      <x:c r="C1581" s="99" t="n">
        <x:v>2</x:v>
      </x:c>
      <x:c r="D1581" s="99" t="str">
        <x:v>after</x:v>
      </x:c>
      <x:c r="E1581" s="99" t="str"/>
      <x:c r="F1581" s="99" t="str">
        <x:v>that 在那之后</x:v>
      </x:c>
      <x:c r="G1581" s="99" t="str">
        <x:v>2. after that 在那之后</x:v>
      </x:c>
    </x:row>
    <x:row r="1582" ht="18" customHeight="1">
      <x:c r="A1582" s="99" t="str">
        <x:v>T</x:v>
      </x:c>
      <x:c r="B1582" s="99" t="str">
        <x:v>短语</x:v>
      </x:c>
      <x:c r="C1582" s="99" t="n">
        <x:v>3</x:v>
      </x:c>
      <x:c r="D1582" s="99" t="str">
        <x:v>all</x:v>
      </x:c>
      <x:c r="E1582" s="99" t="str"/>
      <x:c r="F1582" s="99" t="str">
        <x:v>the time 一直；总是</x:v>
      </x:c>
      <x:c r="G1582" s="99" t="str">
        <x:v>3. all the time 一直；总是</x:v>
      </x:c>
    </x:row>
    <x:row r="1583" ht="18" customHeight="1">
      <x:c r="A1583" s="99" t="str">
        <x:v>T</x:v>
      </x:c>
      <x:c r="B1583" s="99" t="str">
        <x:v>短语</x:v>
      </x:c>
      <x:c r="C1583" s="99" t="n">
        <x:v>4</x:v>
      </x:c>
      <x:c r="D1583" s="99" t="str">
        <x:v>at</x:v>
      </x:c>
      <x:c r="E1583" s="99" t="str"/>
      <x:c r="F1583" s="99" t="str">
        <x:v>the age of 在……岁时</x:v>
      </x:c>
      <x:c r="G1583" s="99" t="str">
        <x:v>4. at the age of 在……岁时</x:v>
      </x:c>
    </x:row>
    <x:row r="1584" ht="18" customHeight="1">
      <x:c r="A1584" s="99" t="str">
        <x:v>T</x:v>
      </x:c>
      <x:c r="B1584" s="99" t="str">
        <x:v>短语</x:v>
      </x:c>
      <x:c r="C1584" s="99" t="n">
        <x:v>5</x:v>
      </x:c>
      <x:c r="D1584" s="99" t="str">
        <x:v>be</x:v>
      </x:c>
      <x:c r="E1584" s="99" t="str"/>
      <x:c r="F1584" s="99" t="str">
        <x:v>good at 擅长</x:v>
      </x:c>
      <x:c r="G1584" s="99" t="str">
        <x:v>5. be good at 擅长</x:v>
      </x:c>
    </x:row>
    <x:row r="1585" ht="18" customHeight="1">
      <x:c r="A1585" s="99" t="str">
        <x:v>T</x:v>
      </x:c>
      <x:c r="B1585" s="99" t="str">
        <x:v>短语</x:v>
      </x:c>
      <x:c r="C1585" s="99" t="n">
        <x:v>6</x:v>
      </x:c>
      <x:c r="D1585" s="99" t="str">
        <x:v>be</x:v>
      </x:c>
      <x:c r="E1585" s="99" t="str"/>
      <x:c r="F1585" s="99" t="str">
        <x:v>in trouble 处于困境中</x:v>
      </x:c>
      <x:c r="G1585" s="99" t="str">
        <x:v>6. be in trouble 处于困境中</x:v>
      </x:c>
    </x:row>
    <x:row r="1586" ht="18" customHeight="1">
      <x:c r="A1586" s="99" t="str">
        <x:v>T</x:v>
      </x:c>
      <x:c r="B1586" s="99" t="str">
        <x:v>短语</x:v>
      </x:c>
      <x:c r="C1586" s="99" t="n">
        <x:v>7</x:v>
      </x:c>
      <x:c r="D1586" s="99" t="str">
        <x:v>come</x:v>
      </x:c>
      <x:c r="E1586" s="99" t="str"/>
      <x:c r="F1586" s="99" t="str">
        <x:v>true 实现</x:v>
      </x:c>
      <x:c r="G1586" s="99" t="str">
        <x:v>7. come true 实现</x:v>
      </x:c>
    </x:row>
    <x:row r="1587" ht="18" customHeight="1">
      <x:c r="A1587" s="99" t="str">
        <x:v>T</x:v>
      </x:c>
      <x:c r="B1587" s="99" t="str">
        <x:v>短语</x:v>
      </x:c>
      <x:c r="C1587" s="99" t="n">
        <x:v>8</x:v>
      </x:c>
      <x:c r="D1587" s="99" t="str">
        <x:v>have</x:v>
      </x:c>
      <x:c r="E1587" s="99" t="str"/>
      <x:c r="F1587" s="99" t="str">
        <x:v>a try 试试看</x:v>
      </x:c>
      <x:c r="G1587" s="99" t="str">
        <x:v>8. have a try 试试看</x:v>
      </x:c>
    </x:row>
    <x:row r="1588" ht="18" customHeight="1">
      <x:c r="A1588" s="99" t="str">
        <x:v>T</x:v>
      </x:c>
      <x:c r="B1588" s="99" t="str">
        <x:v>短语</x:v>
      </x:c>
      <x:c r="C1588" s="99" t="n">
        <x:v>9</x:v>
      </x:c>
      <x:c r="D1588" s="99" t="str">
        <x:v>on</x:v>
      </x:c>
      <x:c r="E1588" s="99" t="str"/>
      <x:c r="F1588" s="99" t="str">
        <x:v>time 准时；按时</x:v>
      </x:c>
      <x:c r="G1588" s="99" t="str">
        <x:v>9. on time 准时；按时</x:v>
      </x:c>
    </x:row>
    <x:row r="1589" ht="18" customHeight="1">
      <x:c r="A1589" s="99" t="str">
        <x:v>T</x:v>
      </x:c>
      <x:c r="B1589" s="99" t="str">
        <x:v>短语</x:v>
      </x:c>
      <x:c r="C1589" s="99" t="n">
        <x:v>10</x:v>
      </x:c>
      <x:c r="D1589" s="99" t="str">
        <x:v>once</x:v>
      </x:c>
      <x:c r="E1589" s="99" t="str"/>
      <x:c r="F1589" s="99" t="str">
        <x:v>or twice 偶尔；一两次</x:v>
      </x:c>
      <x:c r="G1589" s="99" t="str">
        <x:v>10. once or twice 偶尔；一两次</x:v>
      </x:c>
    </x:row>
    <x:row r="1590" ht="18" customHeight="1">
      <x:c r="A1590" s="99" t="str">
        <x:v>T</x:v>
      </x:c>
      <x:c r="B1590" s="99" t="str">
        <x:v>短语</x:v>
      </x:c>
      <x:c r="C1590" s="99" t="n">
        <x:v>11</x:v>
      </x:c>
      <x:c r="D1590" s="99" t="str">
        <x:v>take</x:v>
      </x:c>
      <x:c r="E1590" s="99" t="str"/>
      <x:c r="F1590" s="99" t="str">
        <x:v>care of 照顾；照料</x:v>
      </x:c>
      <x:c r="G1590" s="99" t="str">
        <x:v>11. take care of 照顾；照料</x:v>
      </x:c>
    </x:row>
    <x:row r="1591" ht="18" customHeight="1">
      <x:c r="A1591" s="99" t="str">
        <x:v>T</x:v>
      </x:c>
      <x:c r="B1591" s="99" t="str">
        <x:v>短语</x:v>
      </x:c>
      <x:c r="C1591" s="99" t="n">
        <x:v>12</x:v>
      </x:c>
      <x:c r="D1591" s="99" t="str">
        <x:v>take</x:v>
      </x:c>
      <x:c r="E1591" s="99" t="str"/>
      <x:c r="F1591" s="99" t="str">
        <x:v>part in 参加；参与</x:v>
      </x:c>
      <x:c r="G1591" s="99" t="str">
        <x:v>12. take part in 参加；参与</x:v>
      </x:c>
    </x:row>
    <x:row r="1592" ht="18" customHeight="1">
      <x:c r="A1592" s="99" t="str">
        <x:v>T</x:v>
      </x:c>
      <x:c r="B1592" s="99" t="str">
        <x:v>短语</x:v>
      </x:c>
      <x:c r="C1592" s="99" t="n">
        <x:v>13</x:v>
      </x:c>
      <x:c r="D1592" s="99" t="str">
        <x:v>take</x:v>
      </x:c>
      <x:c r="E1592" s="99" t="str"/>
      <x:c r="F1592" s="99" t="str">
        <x:v>photos 拍照</x:v>
      </x:c>
      <x:c r="G1592" s="99" t="str">
        <x:v>13. take photos 拍照</x:v>
      </x:c>
    </x:row>
    <x:row r="1593" ht="18" customHeight="1">
      <x:c r="A1593" s="99" t="str">
        <x:v>T</x:v>
      </x:c>
      <x:c r="B1593" s="99" t="str">
        <x:v>短语</x:v>
      </x:c>
      <x:c r="C1593" s="99" t="n">
        <x:v>14</x:v>
      </x:c>
      <x:c r="D1593" s="99" t="str">
        <x:v>take</x:v>
      </x:c>
      <x:c r="E1593" s="99" t="str"/>
      <x:c r="F1593" s="99" t="str">
        <x:v>place 发生；举行</x:v>
      </x:c>
      <x:c r="G1593" s="99" t="str">
        <x:v>14. take place 发生；举行</x:v>
      </x:c>
    </x:row>
    <x:row r="1594" ht="18" customHeight="1">
      <x:c r="A1594" s="99" t="str">
        <x:v>T</x:v>
      </x:c>
      <x:c r="B1594" s="99" t="str">
        <x:v>短语</x:v>
      </x:c>
      <x:c r="C1594" s="99" t="n">
        <x:v>15</x:v>
      </x:c>
      <x:c r="D1594" s="99" t="str">
        <x:v>talk</x:v>
      </x:c>
      <x:c r="E1594" s="99" t="str"/>
      <x:c r="F1594" s="99" t="str">
        <x:v>about 谈论；议论</x:v>
      </x:c>
      <x:c r="G1594" s="99" t="str">
        <x:v>15. talk about 谈论；议论</x:v>
      </x:c>
    </x:row>
    <x:row r="1595" ht="18" customHeight="1">
      <x:c r="A1595" s="99" t="str">
        <x:v>T</x:v>
      </x:c>
      <x:c r="B1595" s="99" t="str">
        <x:v>短语</x:v>
      </x:c>
      <x:c r="C1595" s="99" t="n">
        <x:v>16</x:v>
      </x:c>
      <x:c r="D1595" s="99" t="str">
        <x:v>tell</x:v>
      </x:c>
      <x:c r="E1595" s="99" t="str"/>
      <x:c r="F1595" s="99" t="str">
        <x:v>the truth 说实话</x:v>
      </x:c>
      <x:c r="G1595" s="99" t="str">
        <x:v>16. tell the truth 说实话</x:v>
      </x:c>
    </x:row>
    <x:row r="1596" ht="18" customHeight="1">
      <x:c r="A1596" s="99" t="str">
        <x:v>T</x:v>
      </x:c>
      <x:c r="B1596" s="99" t="str">
        <x:v>短语</x:v>
      </x:c>
      <x:c r="C1596" s="99" t="n">
        <x:v>17</x:v>
      </x:c>
      <x:c r="D1596" s="99" t="str">
        <x:v>thanks</x:v>
      </x:c>
      <x:c r="E1596" s="99" t="str"/>
      <x:c r="F1596" s="99" t="str">
        <x:v>to 多亏；由于</x:v>
      </x:c>
      <x:c r="G1596" s="99" t="str">
        <x:v>17. thanks to 多亏；由于</x:v>
      </x:c>
    </x:row>
    <x:row r="1597" ht="18" customHeight="1">
      <x:c r="A1597" s="99" t="str">
        <x:v>T</x:v>
      </x:c>
      <x:c r="B1597" s="99" t="str">
        <x:v>短语</x:v>
      </x:c>
      <x:c r="C1597" s="99" t="n">
        <x:v>18</x:v>
      </x:c>
      <x:c r="D1597" s="99" t="str">
        <x:v>think</x:v>
      </x:c>
      <x:c r="E1597" s="99" t="str"/>
      <x:c r="F1597" s="99" t="str">
        <x:v>about 考虑；思考</x:v>
      </x:c>
      <x:c r="G1597" s="99" t="str">
        <x:v>18. think about 考虑；思考</x:v>
      </x:c>
    </x:row>
    <x:row r="1598" ht="18" customHeight="1">
      <x:c r="A1598" s="99" t="str">
        <x:v>T</x:v>
      </x:c>
      <x:c r="B1598" s="99" t="str">
        <x:v>短语</x:v>
      </x:c>
      <x:c r="C1598" s="99" t="n">
        <x:v>19</x:v>
      </x:c>
      <x:c r="D1598" s="99" t="str">
        <x:v>throw</x:v>
      </x:c>
      <x:c r="E1598" s="99" t="str"/>
      <x:c r="F1598" s="99" t="str">
        <x:v>away 扔掉；丢弃</x:v>
      </x:c>
      <x:c r="G1598" s="99" t="str">
        <x:v>19. throw away 扔掉；丢弃</x:v>
      </x:c>
    </x:row>
    <x:row r="1599" ht="18" customHeight="1">
      <x:c r="A1599" s="99" t="str">
        <x:v>T</x:v>
      </x:c>
      <x:c r="B1599" s="99" t="str">
        <x:v>短语</x:v>
      </x:c>
      <x:c r="C1599" s="99" t="n">
        <x:v>20</x:v>
      </x:c>
      <x:c r="D1599" s="99" t="str">
        <x:v>too</x:v>
      </x:c>
      <x:c r="E1599" s="99" t="str"/>
      <x:c r="F1599" s="99" t="str">
        <x:v>much 太多（注：T开头，此处补充）</x:v>
      </x:c>
      <x:c r="G1599" s="99" t="str">
        <x:v>20. too much 太多（注：T开头，此处补充）</x:v>
      </x:c>
    </x:row>
    <x:row r="1600" ht="18" customHeight="1">
      <x:c r="A1600" s="99" t="str">
        <x:v>T</x:v>
      </x:c>
      <x:c r="B1600" s="99" t="str">
        <x:v>短语</x:v>
      </x:c>
      <x:c r="C1600" s="99" t="n">
        <x:v>21</x:v>
      </x:c>
      <x:c r="D1600" s="99" t="str">
        <x:v>try</x:v>
      </x:c>
      <x:c r="E1600" s="99" t="str"/>
      <x:c r="F1600" s="99" t="str">
        <x:v>on 试穿</x:v>
      </x:c>
      <x:c r="G1600" s="99" t="str">
        <x:v>21. try on 试穿</x:v>
      </x:c>
    </x:row>
    <x:row r="1601" ht="18" customHeight="1">
      <x:c r="A1601" s="99" t="str">
        <x:v>T</x:v>
      </x:c>
      <x:c r="B1601" s="99" t="str">
        <x:v>短语</x:v>
      </x:c>
      <x:c r="C1601" s="99" t="n">
        <x:v>22</x:v>
      </x:c>
      <x:c r="D1601" s="99" t="str">
        <x:v>try</x:v>
      </x:c>
      <x:c r="E1601" s="99" t="str"/>
      <x:c r="F1601" s="99" t="str">
        <x:v>one's best 尽某人最大努力</x:v>
      </x:c>
      <x:c r="G1601" s="99" t="str">
        <x:v>22. try one's best 尽某人最大努力</x:v>
      </x:c>
    </x:row>
    <x:row r="1602" ht="18" customHeight="1">
      <x:c r="A1602" s="99" t="str">
        <x:v>T</x:v>
      </x:c>
      <x:c r="B1602" s="99" t="str">
        <x:v>短语</x:v>
      </x:c>
      <x:c r="C1602" s="99" t="n">
        <x:v>23</x:v>
      </x:c>
      <x:c r="D1602" s="99" t="str">
        <x:v>turn</x:v>
      </x:c>
      <x:c r="E1602" s="99" t="str"/>
      <x:c r="F1602" s="99" t="str">
        <x:v>on 打开（电器）</x:v>
      </x:c>
      <x:c r="G1602" s="99" t="str">
        <x:v>23. turn on 打开（电器）</x:v>
      </x:c>
    </x:row>
    <x:row r="1603" ht="18" customHeight="1">
      <x:c r="A1603" s="99" t="str">
        <x:v>T</x:v>
      </x:c>
      <x:c r="B1603" s="99" t="str">
        <x:v>短语</x:v>
      </x:c>
      <x:c r="C1603" s="99" t="n">
        <x:v>24</x:v>
      </x:c>
      <x:c r="D1603" s="99" t="str">
        <x:v>turn</x:v>
      </x:c>
      <x:c r="E1603" s="99" t="str"/>
      <x:c r="F1603" s="99" t="str">
        <x:v>off 关掉（电器）</x:v>
      </x:c>
      <x:c r="G1603" s="99" t="str">
        <x:v>24. turn off 关掉（电器）</x:v>
      </x:c>
    </x:row>
    <x:row r="1604" ht="18" customHeight="1">
      <x:c r="A1604" s="99" t="str">
        <x:v>U</x:v>
      </x:c>
      <x:c r="B1604" s="99" t="str">
        <x:v>名词</x:v>
      </x:c>
      <x:c r="C1604" s="99" t="n">
        <x:v>1</x:v>
      </x:c>
      <x:c r="D1604" s="99" t="str">
        <x:v>umbrella</x:v>
      </x:c>
      <x:c r="E1604" s="99" t="str">
        <x:v>/ʌmˈbrelə/</x:v>
      </x:c>
      <x:c r="F1604" s="99" t="str">
        <x:v>雨伞</x:v>
      </x:c>
      <x:c r="G1604" s="99" t="str">
        <x:v>1. umbrella /ʌmˈbrelə/ 雨伞</x:v>
      </x:c>
    </x:row>
    <x:row r="1605" ht="18" customHeight="1">
      <x:c r="A1605" s="99" t="str">
        <x:v>U</x:v>
      </x:c>
      <x:c r="B1605" s="99" t="str">
        <x:v>名词</x:v>
      </x:c>
      <x:c r="C1605" s="99" t="n">
        <x:v>2</x:v>
      </x:c>
      <x:c r="D1605" s="99" t="str">
        <x:v>uncle</x:v>
      </x:c>
      <x:c r="E1605" s="99" t="str">
        <x:v>/ˈʌŋkl/</x:v>
      </x:c>
      <x:c r="F1605" s="99" t="str">
        <x:v>叔叔；伯父；舅父</x:v>
      </x:c>
      <x:c r="G1605" s="99" t="str">
        <x:v>2. uncle /ˈʌŋkl/ 叔叔；伯父；舅父</x:v>
      </x:c>
    </x:row>
    <x:row r="1606" ht="18" customHeight="1">
      <x:c r="A1606" s="99" t="str">
        <x:v>U</x:v>
      </x:c>
      <x:c r="B1606" s="99" t="str">
        <x:v>名词</x:v>
      </x:c>
      <x:c r="C1606" s="99" t="n">
        <x:v>3</x:v>
      </x:c>
      <x:c r="D1606" s="99" t="str">
        <x:v>university</x:v>
      </x:c>
      <x:c r="E1606" s="99" t="str">
        <x:v>/ˌjuːnɪˈvɜːsəti/</x:v>
      </x:c>
      <x:c r="F1606" s="99" t="str">
        <x:v>大学</x:v>
      </x:c>
      <x:c r="G1606" s="99" t="str">
        <x:v>3. university /ˌjuːnɪˈvɜːsəti/ 大学</x:v>
      </x:c>
    </x:row>
    <x:row r="1607" ht="18" customHeight="1">
      <x:c r="A1607" s="99" t="str">
        <x:v>U</x:v>
      </x:c>
      <x:c r="B1607" s="99" t="str">
        <x:v>名词</x:v>
      </x:c>
      <x:c r="C1607" s="99" t="n">
        <x:v>4</x:v>
      </x:c>
      <x:c r="D1607" s="99" t="str">
        <x:v>user</x:v>
      </x:c>
      <x:c r="E1607" s="99" t="str">
        <x:v>/ˈjuːzə/</x:v>
      </x:c>
      <x:c r="F1607" s="99" t="str">
        <x:v>用户</x:v>
      </x:c>
      <x:c r="G1607" s="99" t="str">
        <x:v>4. user /ˈjuːzə/ 用户</x:v>
      </x:c>
    </x:row>
    <x:row r="1608" ht="18" customHeight="1">
      <x:c r="A1608" s="99" t="str">
        <x:v>U</x:v>
      </x:c>
      <x:c r="B1608" s="99" t="str">
        <x:v>动词</x:v>
      </x:c>
      <x:c r="C1608" s="99" t="n">
        <x:v>1</x:v>
      </x:c>
      <x:c r="D1608" s="99" t="str">
        <x:v>understand</x:v>
      </x:c>
      <x:c r="E1608" s="99" t="str">
        <x:v>/ˌʌndəˈstænd/</x:v>
      </x:c>
      <x:c r="F1608" s="99" t="str">
        <x:v>理解；明白</x:v>
      </x:c>
      <x:c r="G1608" s="99" t="str">
        <x:v>1. understand /ˌʌndəˈstænd/ 理解；明白</x:v>
      </x:c>
    </x:row>
    <x:row r="1609" ht="18" customHeight="1">
      <x:c r="A1609" s="99" t="str">
        <x:v>U</x:v>
      </x:c>
      <x:c r="B1609" s="99" t="str">
        <x:v>动词</x:v>
      </x:c>
      <x:c r="C1609" s="99" t="n">
        <x:v>2</x:v>
      </x:c>
      <x:c r="D1609" s="99" t="str">
        <x:v>use</x:v>
      </x:c>
      <x:c r="E1609" s="99" t="str">
        <x:v>/juːz/</x:v>
      </x:c>
      <x:c r="F1609" s="99" t="str">
        <x:v>使用；利用</x:v>
      </x:c>
      <x:c r="G1609" s="99" t="str">
        <x:v>2. use /juːz/ 使用；利用</x:v>
      </x:c>
    </x:row>
    <x:row r="1610" ht="18" customHeight="1">
      <x:c r="A1610" s="99" t="str">
        <x:v>U</x:v>
      </x:c>
      <x:c r="B1610" s="99" t="str">
        <x:v>形容词</x:v>
      </x:c>
      <x:c r="C1610" s="99" t="n">
        <x:v>1</x:v>
      </x:c>
      <x:c r="D1610" s="99" t="str">
        <x:v>ugly</x:v>
      </x:c>
      <x:c r="E1610" s="99" t="str">
        <x:v>/ˈʌɡli/</x:v>
      </x:c>
      <x:c r="F1610" s="99" t="str">
        <x:v>难看的；丑陋的</x:v>
      </x:c>
      <x:c r="G1610" s="99" t="str">
        <x:v>1. ugly /ˈʌɡli/ 难看的；丑陋的</x:v>
      </x:c>
    </x:row>
    <x:row r="1611" ht="18" customHeight="1">
      <x:c r="A1611" s="99" t="str">
        <x:v>U</x:v>
      </x:c>
      <x:c r="B1611" s="99" t="str">
        <x:v>形容词</x:v>
      </x:c>
      <x:c r="C1611" s="99" t="n">
        <x:v>2</x:v>
      </x:c>
      <x:c r="D1611" s="99" t="str">
        <x:v>usual</x:v>
      </x:c>
      <x:c r="E1611" s="99" t="str">
        <x:v>/ˈjuːʒuəl/</x:v>
      </x:c>
      <x:c r="F1611" s="99" t="str">
        <x:v>通常的；平常的</x:v>
      </x:c>
      <x:c r="G1611" s="99" t="str">
        <x:v>2. usual /ˈjuːʒuəl/ 通常的；平常的</x:v>
      </x:c>
    </x:row>
    <x:row r="1612" ht="18" customHeight="1">
      <x:c r="A1612" s="99" t="str">
        <x:v>U</x:v>
      </x:c>
      <x:c r="B1612" s="99" t="str">
        <x:v>副词</x:v>
      </x:c>
      <x:c r="C1612" s="99" t="n">
        <x:v>1</x:v>
      </x:c>
      <x:c r="D1612" s="99" t="str">
        <x:v>usually</x:v>
      </x:c>
      <x:c r="E1612" s="99" t="str">
        <x:v>/ˈjuːʒuəli/</x:v>
      </x:c>
      <x:c r="F1612" s="99" t="str">
        <x:v>通常；平常</x:v>
      </x:c>
      <x:c r="G1612" s="99" t="str">
        <x:v>1. usually /ˈjuːʒuəli/ 通常；平常</x:v>
      </x:c>
    </x:row>
    <x:row r="1613" ht="18" customHeight="1">
      <x:c r="A1613" s="99" t="str">
        <x:v>U</x:v>
      </x:c>
      <x:c r="B1613" s="99" t="str">
        <x:v>介词</x:v>
      </x:c>
      <x:c r="C1613" s="99" t="n">
        <x:v>1</x:v>
      </x:c>
      <x:c r="D1613" s="99" t="str">
        <x:v>under</x:v>
      </x:c>
      <x:c r="E1613" s="99" t="str">
        <x:v>/ˈʌndə/</x:v>
      </x:c>
      <x:c r="F1613" s="99" t="str">
        <x:v>在……下面；在……下方</x:v>
      </x:c>
      <x:c r="G1613" s="99" t="str">
        <x:v>1. under /ˈʌndə/ 在……下面；在……下方</x:v>
      </x:c>
    </x:row>
    <x:row r="1614" ht="18" customHeight="1">
      <x:c r="A1614" s="99" t="str">
        <x:v>U</x:v>
      </x:c>
      <x:c r="B1614" s="99" t="str">
        <x:v>短语</x:v>
      </x:c>
      <x:c r="C1614" s="99" t="n">
        <x:v>1</x:v>
      </x:c>
      <x:c r="D1614" s="99" t="str">
        <x:v>up</x:v>
      </x:c>
      <x:c r="E1614" s="99" t="str"/>
      <x:c r="F1614" s="99" t="str">
        <x:v>and down 上上下下；来回</x:v>
      </x:c>
      <x:c r="G1614" s="99" t="str">
        <x:v>1. up and down 上上下下；来回</x:v>
      </x:c>
    </x:row>
    <x:row r="1615" ht="18" customHeight="1">
      <x:c r="A1615" s="99" t="str">
        <x:v>U</x:v>
      </x:c>
      <x:c r="B1615" s="99" t="str">
        <x:v>短语</x:v>
      </x:c>
      <x:c r="C1615" s="99" t="n">
        <x:v>2</x:v>
      </x:c>
      <x:c r="D1615" s="99" t="str">
        <x:v>use</x:v>
      </x:c>
      <x:c r="E1615" s="99" t="str"/>
      <x:c r="F1615" s="99" t="str">
        <x:v>up 用完；耗尽</x:v>
      </x:c>
      <x:c r="G1615" s="99" t="str">
        <x:v>2. use up 用完；耗尽</x:v>
      </x:c>
    </x:row>
    <x:row r="1616" ht="18" customHeight="1">
      <x:c r="A1616" s="99" t="str">
        <x:v>V</x:v>
      </x:c>
      <x:c r="B1616" s="99" t="str">
        <x:v>名词</x:v>
      </x:c>
      <x:c r="C1616" s="99" t="n">
        <x:v>1</x:v>
      </x:c>
      <x:c r="D1616" s="99" t="str">
        <x:v>vacation</x:v>
      </x:c>
      <x:c r="E1616" s="99" t="str">
        <x:v>/veɪˈkeɪʃn/</x:v>
      </x:c>
      <x:c r="F1616" s="99" t="str">
        <x:v>假期；休假</x:v>
      </x:c>
      <x:c r="G1616" s="99" t="str">
        <x:v>1. vacation /veɪˈkeɪʃn/ 假期；休假</x:v>
      </x:c>
    </x:row>
    <x:row r="1617" ht="18" customHeight="1">
      <x:c r="A1617" s="99" t="str">
        <x:v>V</x:v>
      </x:c>
      <x:c r="B1617" s="99" t="str">
        <x:v>名词</x:v>
      </x:c>
      <x:c r="C1617" s="99" t="n">
        <x:v>2</x:v>
      </x:c>
      <x:c r="D1617" s="99" t="str">
        <x:v>value</x:v>
      </x:c>
      <x:c r="E1617" s="99" t="str">
        <x:v>/ˈvæljuː/</x:v>
      </x:c>
      <x:c r="F1617" s="99" t="str">
        <x:v>价值；有用性</x:v>
      </x:c>
      <x:c r="G1617" s="99" t="str">
        <x:v>2. value /ˈvæljuː/ 价值；有用性</x:v>
      </x:c>
    </x:row>
    <x:row r="1618" ht="18" customHeight="1">
      <x:c r="A1618" s="99" t="str">
        <x:v>V</x:v>
      </x:c>
      <x:c r="B1618" s="99" t="str">
        <x:v>名词</x:v>
      </x:c>
      <x:c r="C1618" s="99" t="n">
        <x:v>3</x:v>
      </x:c>
      <x:c r="D1618" s="99" t="str">
        <x:v>vegetable</x:v>
      </x:c>
      <x:c r="E1618" s="99" t="str">
        <x:v>/ˈvedʒtəbl/</x:v>
      </x:c>
      <x:c r="F1618" s="99" t="str">
        <x:v>蔬菜</x:v>
      </x:c>
      <x:c r="G1618" s="99" t="str">
        <x:v>3. vegetable /ˈvedʒtəbl/ 蔬菜</x:v>
      </x:c>
    </x:row>
    <x:row r="1619" ht="18" customHeight="1">
      <x:c r="A1619" s="99" t="str">
        <x:v>V</x:v>
      </x:c>
      <x:c r="B1619" s="99" t="str">
        <x:v>名词</x:v>
      </x:c>
      <x:c r="C1619" s="99" t="n">
        <x:v>4</x:v>
      </x:c>
      <x:c r="D1619" s="99" t="str">
        <x:v>video</x:v>
      </x:c>
      <x:c r="E1619" s="99" t="str">
        <x:v>/ˈvɪdiəʊ/</x:v>
      </x:c>
      <x:c r="F1619" s="99" t="str">
        <x:v>电子录像；视频</x:v>
      </x:c>
      <x:c r="G1619" s="99" t="str">
        <x:v>4. video /ˈvɪdiəʊ/ 电子录像；视频</x:v>
      </x:c>
    </x:row>
    <x:row r="1620" ht="18" customHeight="1">
      <x:c r="A1620" s="99" t="str">
        <x:v>V</x:v>
      </x:c>
      <x:c r="B1620" s="99" t="str">
        <x:v>名词</x:v>
      </x:c>
      <x:c r="C1620" s="99" t="n">
        <x:v>5</x:v>
      </x:c>
      <x:c r="D1620" s="99" t="str">
        <x:v>village</x:v>
      </x:c>
      <x:c r="E1620" s="99" t="str">
        <x:v>/ˈvɪlɪdʒ/</x:v>
      </x:c>
      <x:c r="F1620" s="99" t="str">
        <x:v>村庄</x:v>
      </x:c>
      <x:c r="G1620" s="99" t="str">
        <x:v>5. village /ˈvɪlɪdʒ/ 村庄</x:v>
      </x:c>
    </x:row>
    <x:row r="1621" ht="18" customHeight="1">
      <x:c r="A1621" s="99" t="str">
        <x:v>V</x:v>
      </x:c>
      <x:c r="B1621" s="99" t="str">
        <x:v>名词</x:v>
      </x:c>
      <x:c r="C1621" s="99" t="n">
        <x:v>6</x:v>
      </x:c>
      <x:c r="D1621" s="99" t="str">
        <x:v>visitor</x:v>
      </x:c>
      <x:c r="E1621" s="99" t="str">
        <x:v>/ˈvɪzɪtə/</x:v>
      </x:c>
      <x:c r="F1621" s="99" t="str">
        <x:v>游客；观光者</x:v>
      </x:c>
      <x:c r="G1621" s="99" t="str">
        <x:v>6. visitor /ˈvɪzɪtə/ 游客；观光者</x:v>
      </x:c>
    </x:row>
    <x:row r="1622" ht="18" customHeight="1">
      <x:c r="A1622" s="99" t="str">
        <x:v>V</x:v>
      </x:c>
      <x:c r="B1622" s="99" t="str">
        <x:v>名词</x:v>
      </x:c>
      <x:c r="C1622" s="99" t="n">
        <x:v>7</x:v>
      </x:c>
      <x:c r="D1622" s="99" t="str">
        <x:v>volleyball</x:v>
      </x:c>
      <x:c r="E1622" s="99" t="str">
        <x:v>/ˈvɒlibɔːl/</x:v>
      </x:c>
      <x:c r="F1622" s="99" t="str">
        <x:v>排球</x:v>
      </x:c>
      <x:c r="G1622" s="99" t="str">
        <x:v>7. volleyball /ˈvɒlibɔːl/ 排球</x:v>
      </x:c>
    </x:row>
    <x:row r="1623" ht="18" customHeight="1">
      <x:c r="A1623" s="99" t="str">
        <x:v>V</x:v>
      </x:c>
      <x:c r="B1623" s="99" t="str">
        <x:v>名词</x:v>
      </x:c>
      <x:c r="C1623" s="99" t="n">
        <x:v>8</x:v>
      </x:c>
      <x:c r="D1623" s="99" t="str">
        <x:v>vocabulary</x:v>
      </x:c>
      <x:c r="E1623" s="99" t="str">
        <x:v>/vəˈkæbjələri/</x:v>
      </x:c>
      <x:c r="F1623" s="99" t="str">
        <x:v>词汇；词汇量</x:v>
      </x:c>
      <x:c r="G1623" s="99" t="str">
        <x:v>8. vocabulary /vəˈkæbjələri/ 词汇；词汇量</x:v>
      </x:c>
    </x:row>
    <x:row r="1624" ht="18" customHeight="1">
      <x:c r="A1624" s="99" t="str">
        <x:v>V</x:v>
      </x:c>
      <x:c r="B1624" s="99" t="str">
        <x:v>动词</x:v>
      </x:c>
      <x:c r="C1624" s="99" t="n">
        <x:v>1</x:v>
      </x:c>
      <x:c r="D1624" s="99" t="str">
        <x:v>visit</x:v>
      </x:c>
      <x:c r="E1624" s="99" t="str">
        <x:v>/ˈvɪzɪt/</x:v>
      </x:c>
      <x:c r="F1624" s="99" t="str">
        <x:v>参观；访问；拜访</x:v>
      </x:c>
      <x:c r="G1624" s="99" t="str">
        <x:v>1. visit /ˈvɪzɪt/ 参观；访问；拜访</x:v>
      </x:c>
    </x:row>
    <x:row r="1625" ht="18" customHeight="1">
      <x:c r="A1625" s="99" t="str">
        <x:v>V</x:v>
      </x:c>
      <x:c r="B1625" s="99" t="str">
        <x:v>动词</x:v>
      </x:c>
      <x:c r="C1625" s="99" t="n">
        <x:v>2</x:v>
      </x:c>
      <x:c r="D1625" s="99" t="str">
        <x:v>volunteer</x:v>
      </x:c>
      <x:c r="E1625" s="99" t="str">
        <x:v>/ˌvɒlənˈtɪə/</x:v>
      </x:c>
      <x:c r="F1625" s="99" t="str">
        <x:v>自愿做；义务做</x:v>
      </x:c>
      <x:c r="G1625" s="99" t="str">
        <x:v>2. volunteer /ˌvɒlənˈtɪə/ 自愿做；义务做</x:v>
      </x:c>
    </x:row>
    <x:row r="1626" ht="18" customHeight="1">
      <x:c r="A1626" s="99" t="str">
        <x:v>V</x:v>
      </x:c>
      <x:c r="B1626" s="99" t="str">
        <x:v>形容词</x:v>
      </x:c>
      <x:c r="C1626" s="99" t="n">
        <x:v>1</x:v>
      </x:c>
      <x:c r="D1626" s="99" t="str">
        <x:v>valuable</x:v>
      </x:c>
      <x:c r="E1626" s="99" t="str">
        <x:v>/ˈvæljuəbl/</x:v>
      </x:c>
      <x:c r="F1626" s="99" t="str">
        <x:v>有价值的；有用的</x:v>
      </x:c>
      <x:c r="G1626" s="99" t="str">
        <x:v>1. valuable /ˈvæljuəbl/ 有价值的；有用的</x:v>
      </x:c>
    </x:row>
    <x:row r="1627" ht="18" customHeight="1">
      <x:c r="A1627" s="99" t="str">
        <x:v>V</x:v>
      </x:c>
      <x:c r="B1627" s="99" t="str">
        <x:v>形容词</x:v>
      </x:c>
      <x:c r="C1627" s="99" t="n">
        <x:v>2</x:v>
      </x:c>
      <x:c r="D1627" s="99" t="str">
        <x:v>various</x:v>
      </x:c>
      <x:c r="E1627" s="99" t="str">
        <x:v>/ˈveəriəs/</x:v>
      </x:c>
      <x:c r="F1627" s="99" t="str">
        <x:v>各种各样的；不同的</x:v>
      </x:c>
      <x:c r="G1627" s="99" t="str">
        <x:v>2. various /ˈveəriəs/ 各种各样的；不同的</x:v>
      </x:c>
    </x:row>
    <x:row r="1628" ht="18" customHeight="1">
      <x:c r="A1628" s="99" t="str">
        <x:v>V</x:v>
      </x:c>
      <x:c r="B1628" s="99" t="str">
        <x:v>形容词</x:v>
      </x:c>
      <x:c r="C1628" s="99" t="n">
        <x:v>3</x:v>
      </x:c>
      <x:c r="D1628" s="99" t="str">
        <x:v>very</x:v>
      </x:c>
      <x:c r="E1628" s="99" t="str">
        <x:v>/ˈveri/</x:v>
      </x:c>
      <x:c r="F1628" s="99" t="str">
        <x:v>很；非常（兼作副词）</x:v>
      </x:c>
      <x:c r="G1628" s="99" t="str">
        <x:v>3. very /ˈveri/ 很；非常（兼作副词）</x:v>
      </x:c>
    </x:row>
    <x:row r="1629" ht="18" customHeight="1">
      <x:c r="A1629" s="99" t="str">
        <x:v>V</x:v>
      </x:c>
      <x:c r="B1629" s="99" t="str">
        <x:v>形容词</x:v>
      </x:c>
      <x:c r="C1629" s="99" t="n">
        <x:v>4</x:v>
      </x:c>
      <x:c r="D1629" s="99" t="str">
        <x:v>violent</x:v>
      </x:c>
      <x:c r="E1629" s="99" t="str">
        <x:v>/ˈvaɪələnt/</x:v>
      </x:c>
      <x:c r="F1629" s="99" t="str">
        <x:v>暴力的；猛烈的（补充高频词）</x:v>
      </x:c>
      <x:c r="G1629" s="99" t="str">
        <x:v>4. violent /ˈvaɪələnt/ 暴力的；猛烈的（补充高频词）</x:v>
      </x:c>
    </x:row>
    <x:row r="1630" ht="18" customHeight="1">
      <x:c r="A1630" s="99" t="str">
        <x:v>V</x:v>
      </x:c>
      <x:c r="B1630" s="99" t="str">
        <x:v>副词</x:v>
      </x:c>
      <x:c r="C1630" s="99" t="n">
        <x:v>1</x:v>
      </x:c>
      <x:c r="D1630" s="99" t="str">
        <x:v>very</x:v>
      </x:c>
      <x:c r="E1630" s="99" t="str">
        <x:v>/ˈveri/</x:v>
      </x:c>
      <x:c r="F1630" s="99" t="str">
        <x:v>很；非常</x:v>
      </x:c>
      <x:c r="G1630" s="99" t="str">
        <x:v>1. very /ˈveri/ 很；非常</x:v>
      </x:c>
    </x:row>
    <x:row r="1631" ht="18" customHeight="1">
      <x:c r="A1631" s="99" t="str">
        <x:v>V</x:v>
      </x:c>
      <x:c r="B1631" s="99" t="str">
        <x:v>短语</x:v>
      </x:c>
      <x:c r="C1631" s="99" t="n">
        <x:v>1</x:v>
      </x:c>
      <x:c r="D1631" s="99" t="str">
        <x:v>visit sb.</x:v>
      </x:c>
      <x:c r="E1631" s="99" t="str">
        <x:v>/ sp. 拜访某人/</x:v>
      </x:c>
      <x:c r="F1631" s="99" t="str">
        <x:v>参观某地</x:v>
      </x:c>
      <x:c r="G1631" s="99" t="str">
        <x:v>1. visit sb. / sp. 拜访某人/参观某地</x:v>
      </x:c>
    </x:row>
    <x:row r="1632" ht="18" customHeight="1">
      <x:c r="A1632" s="99" t="str">
        <x:v>V</x:v>
      </x:c>
      <x:c r="B1632" s="99" t="str">
        <x:v>短语</x:v>
      </x:c>
      <x:c r="C1632" s="99" t="n">
        <x:v>2</x:v>
      </x:c>
      <x:c r="D1632" s="99" t="str">
        <x:v>volunteer</x:v>
      </x:c>
      <x:c r="E1632" s="99" t="str"/>
      <x:c r="F1632" s="99" t="str">
        <x:v>to do sth. 自愿做某事</x:v>
      </x:c>
      <x:c r="G1632" s="99" t="str">
        <x:v>2. volunteer to do sth. 自愿做某事</x:v>
      </x:c>
    </x:row>
    <x:row r="1633" ht="18" customHeight="1">
      <x:c r="A1633" s="99" t="str">
        <x:v>W</x:v>
      </x:c>
      <x:c r="B1633" s="99" t="str">
        <x:v>名词</x:v>
      </x:c>
      <x:c r="C1633" s="99" t="n">
        <x:v>1</x:v>
      </x:c>
      <x:c r="D1633" s="99" t="str">
        <x:v>wait</x:v>
      </x:c>
      <x:c r="E1633" s="99" t="str">
        <x:v>/weɪt/</x:v>
      </x:c>
      <x:c r="F1633" s="99" t="str">
        <x:v>等待；等候</x:v>
      </x:c>
      <x:c r="G1633" s="99" t="str">
        <x:v>1. wait /weɪt/ 等待；等候</x:v>
      </x:c>
    </x:row>
    <x:row r="1634" ht="18" customHeight="1">
      <x:c r="A1634" s="99" t="str">
        <x:v>W</x:v>
      </x:c>
      <x:c r="B1634" s="99" t="str">
        <x:v>名词</x:v>
      </x:c>
      <x:c r="C1634" s="99" t="n">
        <x:v>2</x:v>
      </x:c>
      <x:c r="D1634" s="99" t="str">
        <x:v>walk</x:v>
      </x:c>
      <x:c r="E1634" s="99" t="str">
        <x:v>/wɔːk/</x:v>
      </x:c>
      <x:c r="F1634" s="99" t="str">
        <x:v>步行；散步</x:v>
      </x:c>
      <x:c r="G1634" s="99" t="str">
        <x:v>2. walk /wɔːk/ 步行；散步</x:v>
      </x:c>
    </x:row>
    <x:row r="1635" ht="18" customHeight="1">
      <x:c r="A1635" s="99" t="str">
        <x:v>W</x:v>
      </x:c>
      <x:c r="B1635" s="99" t="str">
        <x:v>名词</x:v>
      </x:c>
      <x:c r="C1635" s="99" t="n">
        <x:v>3</x:v>
      </x:c>
      <x:c r="D1635" s="99" t="str">
        <x:v>wall</x:v>
      </x:c>
      <x:c r="E1635" s="99" t="str">
        <x:v>/wɔːl/</x:v>
      </x:c>
      <x:c r="F1635" s="99" t="str">
        <x:v>墙；墙壁</x:v>
      </x:c>
      <x:c r="G1635" s="99" t="str">
        <x:v>3. wall /wɔːl/ 墙；墙壁</x:v>
      </x:c>
    </x:row>
    <x:row r="1636" ht="18" customHeight="1">
      <x:c r="A1636" s="99" t="str">
        <x:v>W</x:v>
      </x:c>
      <x:c r="B1636" s="99" t="str">
        <x:v>名词</x:v>
      </x:c>
      <x:c r="C1636" s="99" t="n">
        <x:v>4</x:v>
      </x:c>
      <x:c r="D1636" s="99" t="str">
        <x:v>want</x:v>
      </x:c>
      <x:c r="E1636" s="99" t="str">
        <x:v>/wɒnt/</x:v>
      </x:c>
      <x:c r="F1636" s="99" t="str">
        <x:v>想要；需要</x:v>
      </x:c>
      <x:c r="G1636" s="99" t="str">
        <x:v>4. want /wɒnt/ 想要；需要</x:v>
      </x:c>
    </x:row>
    <x:row r="1637" ht="18" customHeight="1">
      <x:c r="A1637" s="99" t="str">
        <x:v>W</x:v>
      </x:c>
      <x:c r="B1637" s="99" t="str">
        <x:v>名词</x:v>
      </x:c>
      <x:c r="C1637" s="99" t="n">
        <x:v>5</x:v>
      </x:c>
      <x:c r="D1637" s="99" t="str">
        <x:v>water</x:v>
      </x:c>
      <x:c r="E1637" s="99" t="str">
        <x:v>/ˈwɔːtə/</x:v>
      </x:c>
      <x:c r="F1637" s="99" t="str">
        <x:v>水</x:v>
      </x:c>
      <x:c r="G1637" s="99" t="str">
        <x:v>5. water /ˈwɔːtə/ 水</x:v>
      </x:c>
    </x:row>
    <x:row r="1638" ht="18" customHeight="1">
      <x:c r="A1638" s="99" t="str">
        <x:v>W</x:v>
      </x:c>
      <x:c r="B1638" s="99" t="str">
        <x:v>名词</x:v>
      </x:c>
      <x:c r="C1638" s="99" t="n">
        <x:v>6</x:v>
      </x:c>
      <x:c r="D1638" s="99" t="str">
        <x:v>way</x:v>
      </x:c>
      <x:c r="E1638" s="99" t="str">
        <x:v>/weɪ/</x:v>
      </x:c>
      <x:c r="F1638" s="99" t="str">
        <x:v>方式；方法；路</x:v>
      </x:c>
      <x:c r="G1638" s="99" t="str">
        <x:v>6. way /weɪ/ 方式；方法；路</x:v>
      </x:c>
    </x:row>
    <x:row r="1639" ht="18" customHeight="1">
      <x:c r="A1639" s="99" t="str">
        <x:v>W</x:v>
      </x:c>
      <x:c r="B1639" s="99" t="str">
        <x:v>名词</x:v>
      </x:c>
      <x:c r="C1639" s="99" t="n">
        <x:v>7</x:v>
      </x:c>
      <x:c r="D1639" s="99" t="str">
        <x:v>weather</x:v>
      </x:c>
      <x:c r="E1639" s="99" t="str">
        <x:v>/ˈweðə/</x:v>
      </x:c>
      <x:c r="F1639" s="99" t="str">
        <x:v>天气</x:v>
      </x:c>
      <x:c r="G1639" s="99" t="str">
        <x:v>7. weather /ˈweðə/ 天气</x:v>
      </x:c>
    </x:row>
    <x:row r="1640" ht="18" customHeight="1">
      <x:c r="A1640" s="99" t="str">
        <x:v>W</x:v>
      </x:c>
      <x:c r="B1640" s="99" t="str">
        <x:v>名词</x:v>
      </x:c>
      <x:c r="C1640" s="99" t="n">
        <x:v>8</x:v>
      </x:c>
      <x:c r="D1640" s="99" t="str">
        <x:v>Wednesday</x:v>
      </x:c>
      <x:c r="E1640" s="99" t="str">
        <x:v>/ˈwenzdeɪ/</x:v>
      </x:c>
      <x:c r="F1640" s="99" t="str">
        <x:v>星期三</x:v>
      </x:c>
      <x:c r="G1640" s="99" t="str">
        <x:v>8. Wednesday /ˈwenzdeɪ/ 星期三</x:v>
      </x:c>
    </x:row>
    <x:row r="1641" ht="18" customHeight="1">
      <x:c r="A1641" s="99" t="str">
        <x:v>W</x:v>
      </x:c>
      <x:c r="B1641" s="99" t="str">
        <x:v>名词</x:v>
      </x:c>
      <x:c r="C1641" s="99" t="n">
        <x:v>9</x:v>
      </x:c>
      <x:c r="D1641" s="99" t="str">
        <x:v>weekend</x:v>
      </x:c>
      <x:c r="E1641" s="99" t="str">
        <x:v>/ˌwiːkˈend/</x:v>
      </x:c>
      <x:c r="F1641" s="99" t="str">
        <x:v>周末</x:v>
      </x:c>
      <x:c r="G1641" s="99" t="str">
        <x:v>9. weekend /ˌwiːkˈend/ 周末</x:v>
      </x:c>
    </x:row>
    <x:row r="1642" ht="18" customHeight="1">
      <x:c r="A1642" s="99" t="str">
        <x:v>W</x:v>
      </x:c>
      <x:c r="B1642" s="99" t="str">
        <x:v>名词</x:v>
      </x:c>
      <x:c r="C1642" s="99" t="n">
        <x:v>10</x:v>
      </x:c>
      <x:c r="D1642" s="99" t="str">
        <x:v>week</x:v>
      </x:c>
      <x:c r="E1642" s="99" t="str">
        <x:v>/wiːk/</x:v>
      </x:c>
      <x:c r="F1642" s="99" t="str">
        <x:v>星期；周</x:v>
      </x:c>
      <x:c r="G1642" s="99" t="str">
        <x:v>10. week /wiːk/ 星期；周</x:v>
      </x:c>
    </x:row>
    <x:row r="1643" ht="18" customHeight="1">
      <x:c r="A1643" s="99" t="str">
        <x:v>W</x:v>
      </x:c>
      <x:c r="B1643" s="99" t="str">
        <x:v>名词</x:v>
      </x:c>
      <x:c r="C1643" s="99" t="n">
        <x:v>11</x:v>
      </x:c>
      <x:c r="D1643" s="99" t="str">
        <x:v>weekday</x:v>
      </x:c>
      <x:c r="E1643" s="99" t="str">
        <x:v>/ˈwiːkdeɪ/</x:v>
      </x:c>
      <x:c r="F1643" s="99" t="str">
        <x:v>工作日</x:v>
      </x:c>
      <x:c r="G1643" s="99" t="str">
        <x:v>11. weekday /ˈwiːkdeɪ/ 工作日</x:v>
      </x:c>
    </x:row>
    <x:row r="1644" ht="18" customHeight="1">
      <x:c r="A1644" s="99" t="str">
        <x:v>W</x:v>
      </x:c>
      <x:c r="B1644" s="99" t="str">
        <x:v>名词</x:v>
      </x:c>
      <x:c r="C1644" s="99" t="n">
        <x:v>12</x:v>
      </x:c>
      <x:c r="D1644" s="99" t="str">
        <x:v>welcome</x:v>
      </x:c>
      <x:c r="E1644" s="99" t="str">
        <x:v>/ˈwelkəm/</x:v>
      </x:c>
      <x:c r="F1644" s="99" t="str">
        <x:v>欢迎</x:v>
      </x:c>
      <x:c r="G1644" s="99" t="str">
        <x:v>12. welcome /ˈwelkəm/ 欢迎</x:v>
      </x:c>
    </x:row>
    <x:row r="1645" ht="18" customHeight="1">
      <x:c r="A1645" s="99" t="str">
        <x:v>W</x:v>
      </x:c>
      <x:c r="B1645" s="99" t="str">
        <x:v>名词</x:v>
      </x:c>
      <x:c r="C1645" s="99" t="n">
        <x:v>13</x:v>
      </x:c>
      <x:c r="D1645" s="99" t="str">
        <x:v>west</x:v>
      </x:c>
      <x:c r="E1645" s="99" t="str">
        <x:v>/west/</x:v>
      </x:c>
      <x:c r="F1645" s="99" t="str">
        <x:v>西方；西部</x:v>
      </x:c>
      <x:c r="G1645" s="99" t="str">
        <x:v>13. west /west/ 西方；西部</x:v>
      </x:c>
    </x:row>
    <x:row r="1646" ht="18" customHeight="1">
      <x:c r="A1646" s="99" t="str">
        <x:v>W</x:v>
      </x:c>
      <x:c r="B1646" s="99" t="str">
        <x:v>名词</x:v>
      </x:c>
      <x:c r="C1646" s="99" t="n">
        <x:v>14</x:v>
      </x:c>
      <x:c r="D1646" s="99" t="str">
        <x:v>wet</x:v>
      </x:c>
      <x:c r="E1646" s="99" t="str">
        <x:v>/wet/</x:v>
      </x:c>
      <x:c r="F1646" s="99" t="str">
        <x:v>湿的东西（兼作形容词）</x:v>
      </x:c>
      <x:c r="G1646" s="99" t="str">
        <x:v>14. wet /wet/ 湿的东西（兼作形容词）</x:v>
      </x:c>
    </x:row>
    <x:row r="1647" ht="18" customHeight="1">
      <x:c r="A1647" s="99" t="str">
        <x:v>W</x:v>
      </x:c>
      <x:c r="B1647" s="99" t="str">
        <x:v>名词</x:v>
      </x:c>
      <x:c r="C1647" s="99" t="n">
        <x:v>15</x:v>
      </x:c>
      <x:c r="D1647" s="99" t="str">
        <x:v>what</x:v>
      </x:c>
      <x:c r="E1647" s="99" t="str">
        <x:v>/wɒt/</x:v>
      </x:c>
      <x:c r="F1647" s="99" t="str">
        <x:v>什么（代词）</x:v>
      </x:c>
      <x:c r="G1647" s="99" t="str">
        <x:v>15. what /wɒt/ 什么（代词）</x:v>
      </x:c>
    </x:row>
    <x:row r="1648" ht="18" customHeight="1">
      <x:c r="A1648" s="99" t="str">
        <x:v>W</x:v>
      </x:c>
      <x:c r="B1648" s="99" t="str">
        <x:v>名词</x:v>
      </x:c>
      <x:c r="C1648" s="99" t="n">
        <x:v>16</x:v>
      </x:c>
      <x:c r="D1648" s="99" t="str">
        <x:v>when</x:v>
      </x:c>
      <x:c r="E1648" s="99" t="str">
        <x:v>/wen/</x:v>
      </x:c>
      <x:c r="F1648" s="99" t="str">
        <x:v>什么时候（副词/连词）</x:v>
      </x:c>
      <x:c r="G1648" s="99" t="str">
        <x:v>16. when /wen/ 什么时候（副词/连词）</x:v>
      </x:c>
    </x:row>
    <x:row r="1649" ht="18" customHeight="1">
      <x:c r="A1649" s="99" t="str">
        <x:v>W</x:v>
      </x:c>
      <x:c r="B1649" s="99" t="str">
        <x:v>名词</x:v>
      </x:c>
      <x:c r="C1649" s="99" t="n">
        <x:v>17</x:v>
      </x:c>
      <x:c r="D1649" s="99" t="str">
        <x:v>where</x:v>
      </x:c>
      <x:c r="E1649" s="99" t="str">
        <x:v>/weə/</x:v>
      </x:c>
      <x:c r="F1649" s="99" t="str">
        <x:v>哪里（副词/连词）</x:v>
      </x:c>
      <x:c r="G1649" s="99" t="str">
        <x:v>17. where /weə/ 哪里（副词/连词）</x:v>
      </x:c>
    </x:row>
    <x:row r="1650" ht="18" customHeight="1">
      <x:c r="A1650" s="99" t="str">
        <x:v>W</x:v>
      </x:c>
      <x:c r="B1650" s="99" t="str">
        <x:v>名词</x:v>
      </x:c>
      <x:c r="C1650" s="99" t="n">
        <x:v>18</x:v>
      </x:c>
      <x:c r="D1650" s="99" t="str">
        <x:v>which</x:v>
      </x:c>
      <x:c r="E1650" s="99" t="str">
        <x:v>/wɪtʃ/</x:v>
      </x:c>
      <x:c r="F1650" s="99" t="str">
        <x:v>哪一个（代词）</x:v>
      </x:c>
      <x:c r="G1650" s="99" t="str">
        <x:v>18. which /wɪtʃ/ 哪一个（代词）</x:v>
      </x:c>
    </x:row>
    <x:row r="1651" ht="18" customHeight="1">
      <x:c r="A1651" s="99" t="str">
        <x:v>W</x:v>
      </x:c>
      <x:c r="B1651" s="99" t="str">
        <x:v>名词</x:v>
      </x:c>
      <x:c r="C1651" s="99" t="n">
        <x:v>19</x:v>
      </x:c>
      <x:c r="D1651" s="99" t="str">
        <x:v>white</x:v>
      </x:c>
      <x:c r="E1651" s="99" t="str">
        <x:v>/waɪt/</x:v>
      </x:c>
      <x:c r="F1651" s="99" t="str">
        <x:v>白色；白色的东西（兼作形容词）</x:v>
      </x:c>
      <x:c r="G1651" s="99" t="str">
        <x:v>19. white /waɪt/ 白色；白色的东西（兼作形容词）</x:v>
      </x:c>
    </x:row>
    <x:row r="1652" ht="18" customHeight="1">
      <x:c r="A1652" s="99" t="str">
        <x:v>W</x:v>
      </x:c>
      <x:c r="B1652" s="99" t="str">
        <x:v>名词</x:v>
      </x:c>
      <x:c r="C1652" s="99" t="n">
        <x:v>20</x:v>
      </x:c>
      <x:c r="D1652" s="99" t="str">
        <x:v>who</x:v>
      </x:c>
      <x:c r="E1652" s="99" t="str">
        <x:v>/huː/</x:v>
      </x:c>
      <x:c r="F1652" s="99" t="str">
        <x:v>谁（代词）</x:v>
      </x:c>
      <x:c r="G1652" s="99" t="str">
        <x:v>20. who /huː/ 谁（代词）</x:v>
      </x:c>
    </x:row>
    <x:row r="1653" ht="18" customHeight="1">
      <x:c r="A1653" s="99" t="str">
        <x:v>W</x:v>
      </x:c>
      <x:c r="B1653" s="99" t="str">
        <x:v>名词</x:v>
      </x:c>
      <x:c r="C1653" s="99" t="n">
        <x:v>21</x:v>
      </x:c>
      <x:c r="D1653" s="99" t="str">
        <x:v>whose</x:v>
      </x:c>
      <x:c r="E1653" s="99" t="str">
        <x:v>/huːz/</x:v>
      </x:c>
      <x:c r="F1653" s="99" t="str">
        <x:v>谁的（代词）</x:v>
      </x:c>
      <x:c r="G1653" s="99" t="str">
        <x:v>21. whose /huːz/ 谁的（代词）</x:v>
      </x:c>
    </x:row>
    <x:row r="1654" ht="18" customHeight="1">
      <x:c r="A1654" s="99" t="str">
        <x:v>W</x:v>
      </x:c>
      <x:c r="B1654" s="99" t="str">
        <x:v>名词</x:v>
      </x:c>
      <x:c r="C1654" s="99" t="n">
        <x:v>22</x:v>
      </x:c>
      <x:c r="D1654" s="99" t="str">
        <x:v>why</x:v>
      </x:c>
      <x:c r="E1654" s="99" t="str">
        <x:v>/waɪ/</x:v>
      </x:c>
      <x:c r="F1654" s="99" t="str">
        <x:v>为什么（副词/连词）</x:v>
      </x:c>
      <x:c r="G1654" s="99" t="str">
        <x:v>22. why /waɪ/ 为什么（副词/连词）</x:v>
      </x:c>
    </x:row>
    <x:row r="1655" ht="18" customHeight="1">
      <x:c r="A1655" s="99" t="str">
        <x:v>W</x:v>
      </x:c>
      <x:c r="B1655" s="99" t="str">
        <x:v>名词</x:v>
      </x:c>
      <x:c r="C1655" s="99" t="n">
        <x:v>23</x:v>
      </x:c>
      <x:c r="D1655" s="99" t="str">
        <x:v>wide</x:v>
      </x:c>
      <x:c r="E1655" s="99" t="str">
        <x:v>/waɪd/</x:v>
      </x:c>
      <x:c r="F1655" s="99" t="str">
        <x:v>宽的东西（兼作形容词）</x:v>
      </x:c>
      <x:c r="G1655" s="99" t="str">
        <x:v>23. wide /waɪd/ 宽的东西（兼作形容词）</x:v>
      </x:c>
    </x:row>
    <x:row r="1656" ht="18" customHeight="1">
      <x:c r="A1656" s="99" t="str">
        <x:v>W</x:v>
      </x:c>
      <x:c r="B1656" s="99" t="str">
        <x:v>名词</x:v>
      </x:c>
      <x:c r="C1656" s="99" t="n">
        <x:v>24</x:v>
      </x:c>
      <x:c r="D1656" s="99" t="str">
        <x:v>wife</x:v>
      </x:c>
      <x:c r="E1656" s="99" t="str">
        <x:v>/waɪf/</x:v>
      </x:c>
      <x:c r="F1656" s="99" t="str">
        <x:v>妻子；太太</x:v>
      </x:c>
      <x:c r="G1656" s="99" t="str">
        <x:v>24. wife /waɪf/ 妻子；太太</x:v>
      </x:c>
    </x:row>
    <x:row r="1657" ht="18" customHeight="1">
      <x:c r="A1657" s="99" t="str">
        <x:v>W</x:v>
      </x:c>
      <x:c r="B1657" s="99" t="str">
        <x:v>名词</x:v>
      </x:c>
      <x:c r="C1657" s="99" t="n">
        <x:v>25</x:v>
      </x:c>
      <x:c r="D1657" s="99" t="str">
        <x:v>wild</x:v>
      </x:c>
      <x:c r="E1657" s="99" t="str">
        <x:v>/waɪld/</x:v>
      </x:c>
      <x:c r="F1657" s="99" t="str">
        <x:v>野生的东西（兼作形容词）</x:v>
      </x:c>
      <x:c r="G1657" s="99" t="str">
        <x:v>25. wild /waɪld/ 野生的东西（兼作形容词）</x:v>
      </x:c>
    </x:row>
    <x:row r="1658" ht="18" customHeight="1">
      <x:c r="A1658" s="99" t="str">
        <x:v>W</x:v>
      </x:c>
      <x:c r="B1658" s="99" t="str">
        <x:v>名词</x:v>
      </x:c>
      <x:c r="C1658" s="99" t="n">
        <x:v>26</x:v>
      </x:c>
      <x:c r="D1658" s="99" t="str">
        <x:v>will</x:v>
      </x:c>
      <x:c r="E1658" s="99" t="str">
        <x:v>/wɪl/</x:v>
      </x:c>
      <x:c r="F1658" s="99" t="str">
        <x:v>意志；意愿（兼作情态动词）</x:v>
      </x:c>
      <x:c r="G1658" s="99" t="str">
        <x:v>26. will /wɪl/ 意志；意愿（兼作情态动词）</x:v>
      </x:c>
    </x:row>
    <x:row r="1659" ht="18" customHeight="1">
      <x:c r="A1659" s="99" t="str">
        <x:v>W</x:v>
      </x:c>
      <x:c r="B1659" s="99" t="str">
        <x:v>名词</x:v>
      </x:c>
      <x:c r="C1659" s="99" t="n">
        <x:v>27</x:v>
      </x:c>
      <x:c r="D1659" s="99" t="str">
        <x:v>wind</x:v>
      </x:c>
      <x:c r="E1659" s="99" t="str">
        <x:v>/wɪnd/</x:v>
      </x:c>
      <x:c r="F1659" s="99" t="str">
        <x:v>风</x:v>
      </x:c>
      <x:c r="G1659" s="99" t="str">
        <x:v>27. wind /wɪnd/ 风</x:v>
      </x:c>
    </x:row>
    <x:row r="1660" ht="18" customHeight="1">
      <x:c r="A1660" s="99" t="str">
        <x:v>W</x:v>
      </x:c>
      <x:c r="B1660" s="99" t="str">
        <x:v>名词</x:v>
      </x:c>
      <x:c r="C1660" s="99" t="n">
        <x:v>28</x:v>
      </x:c>
      <x:c r="D1660" s="99" t="str">
        <x:v>window</x:v>
      </x:c>
      <x:c r="E1660" s="99" t="str">
        <x:v>/ˈwɪndəʊ/</x:v>
      </x:c>
      <x:c r="F1660" s="99" t="str">
        <x:v>窗户</x:v>
      </x:c>
      <x:c r="G1660" s="99" t="str">
        <x:v>28. window /ˈwɪndəʊ/ 窗户</x:v>
      </x:c>
    </x:row>
    <x:row r="1661" ht="18" customHeight="1">
      <x:c r="A1661" s="99" t="str">
        <x:v>W</x:v>
      </x:c>
      <x:c r="B1661" s="99" t="str">
        <x:v>名词</x:v>
      </x:c>
      <x:c r="C1661" s="99" t="n">
        <x:v>29</x:v>
      </x:c>
      <x:c r="D1661" s="99" t="str">
        <x:v>winter</x:v>
      </x:c>
      <x:c r="E1661" s="99" t="str">
        <x:v>/ˈwɪntə/</x:v>
      </x:c>
      <x:c r="F1661" s="99" t="str">
        <x:v>冬天；冬季</x:v>
      </x:c>
      <x:c r="G1661" s="99" t="str">
        <x:v>29. winter /ˈwɪntə/ 冬天；冬季</x:v>
      </x:c>
    </x:row>
    <x:row r="1662" ht="18" customHeight="1">
      <x:c r="A1662" s="99" t="str">
        <x:v>W</x:v>
      </x:c>
      <x:c r="B1662" s="99" t="str">
        <x:v>名词</x:v>
      </x:c>
      <x:c r="C1662" s="99" t="n">
        <x:v>30</x:v>
      </x:c>
      <x:c r="D1662" s="99" t="str">
        <x:v>wish</x:v>
      </x:c>
      <x:c r="E1662" s="99" t="str">
        <x:v>/wɪʃ/</x:v>
      </x:c>
      <x:c r="F1662" s="99" t="str">
        <x:v>愿望；希望</x:v>
      </x:c>
      <x:c r="G1662" s="99" t="str">
        <x:v>30. wish /wɪʃ/ 愿望；希望</x:v>
      </x:c>
    </x:row>
    <x:row r="1663" ht="18" customHeight="1">
      <x:c r="A1663" s="99" t="str">
        <x:v>W</x:v>
      </x:c>
      <x:c r="B1663" s="99" t="str">
        <x:v>名词</x:v>
      </x:c>
      <x:c r="C1663" s="99" t="n">
        <x:v>31</x:v>
      </x:c>
      <x:c r="D1663" s="99" t="str">
        <x:v>with</x:v>
      </x:c>
      <x:c r="E1663" s="99" t="str">
        <x:v>/wɪð/</x:v>
      </x:c>
      <x:c r="F1663" s="99" t="str">
        <x:v>和……一起；带有（介词）</x:v>
      </x:c>
      <x:c r="G1663" s="99" t="str">
        <x:v>31. with /wɪð/ 和……一起；带有（介词）</x:v>
      </x:c>
    </x:row>
    <x:row r="1664" ht="18" customHeight="1">
      <x:c r="A1664" s="99" t="str">
        <x:v>W</x:v>
      </x:c>
      <x:c r="B1664" s="99" t="str">
        <x:v>名词</x:v>
      </x:c>
      <x:c r="C1664" s="99" t="n">
        <x:v>32</x:v>
      </x:c>
      <x:c r="D1664" s="99" t="str">
        <x:v>woman</x:v>
      </x:c>
      <x:c r="E1664" s="99" t="str">
        <x:v>/ˈwʊmən/</x:v>
      </x:c>
      <x:c r="F1664" s="99" t="str">
        <x:v>妇女；女人</x:v>
      </x:c>
      <x:c r="G1664" s="99" t="str">
        <x:v>32. woman /ˈwʊmən/ 妇女；女人</x:v>
      </x:c>
    </x:row>
    <x:row r="1665" ht="18" customHeight="1">
      <x:c r="A1665" s="99" t="str">
        <x:v>W</x:v>
      </x:c>
      <x:c r="B1665" s="99" t="str">
        <x:v>名词</x:v>
      </x:c>
      <x:c r="C1665" s="99" t="n">
        <x:v>33</x:v>
      </x:c>
      <x:c r="D1665" s="99" t="str">
        <x:v>word</x:v>
      </x:c>
      <x:c r="E1665" s="99" t="str">
        <x:v>/wɜːd/</x:v>
      </x:c>
      <x:c r="F1665" s="99" t="str">
        <x:v>词；单词</x:v>
      </x:c>
      <x:c r="G1665" s="99" t="str">
        <x:v>33. word /wɜːd/ 词；单词</x:v>
      </x:c>
    </x:row>
    <x:row r="1666" ht="18" customHeight="1">
      <x:c r="A1666" s="99" t="str">
        <x:v>W</x:v>
      </x:c>
      <x:c r="B1666" s="99" t="str">
        <x:v>名词</x:v>
      </x:c>
      <x:c r="C1666" s="99" t="n">
        <x:v>34</x:v>
      </x:c>
      <x:c r="D1666" s="99" t="str">
        <x:v>work</x:v>
      </x:c>
      <x:c r="E1666" s="99" t="str">
        <x:v>/wɜːk/</x:v>
      </x:c>
      <x:c r="F1666" s="99" t="str">
        <x:v>工作；职业</x:v>
      </x:c>
      <x:c r="G1666" s="99" t="str">
        <x:v>34. work /wɜːk/ 工作；职业</x:v>
      </x:c>
    </x:row>
    <x:row r="1667" ht="18" customHeight="1">
      <x:c r="A1667" s="99" t="str">
        <x:v>W</x:v>
      </x:c>
      <x:c r="B1667" s="99" t="str">
        <x:v>名词</x:v>
      </x:c>
      <x:c r="C1667" s="99" t="n">
        <x:v>35</x:v>
      </x:c>
      <x:c r="D1667" s="99" t="str">
        <x:v>worker</x:v>
      </x:c>
      <x:c r="E1667" s="99" t="str">
        <x:v>/ˈwɜːkə/</x:v>
      </x:c>
      <x:c r="F1667" s="99" t="str">
        <x:v>工人</x:v>
      </x:c>
      <x:c r="G1667" s="99" t="str">
        <x:v>35. worker /ˈwɜːkə/ 工人</x:v>
      </x:c>
    </x:row>
    <x:row r="1668" ht="18" customHeight="1">
      <x:c r="A1668" s="99" t="str">
        <x:v>W</x:v>
      </x:c>
      <x:c r="B1668" s="99" t="str">
        <x:v>名词</x:v>
      </x:c>
      <x:c r="C1668" s="99" t="n">
        <x:v>36</x:v>
      </x:c>
      <x:c r="D1668" s="99" t="str">
        <x:v>world</x:v>
      </x:c>
      <x:c r="E1668" s="99" t="str">
        <x:v>/wɜːld/</x:v>
      </x:c>
      <x:c r="F1668" s="99" t="str">
        <x:v>世界；世间</x:v>
      </x:c>
      <x:c r="G1668" s="99" t="str">
        <x:v>36. world /wɜːld/ 世界；世间</x:v>
      </x:c>
    </x:row>
    <x:row r="1669" ht="18" customHeight="1">
      <x:c r="A1669" s="99" t="str">
        <x:v>W</x:v>
      </x:c>
      <x:c r="B1669" s="99" t="str">
        <x:v>名词</x:v>
      </x:c>
      <x:c r="C1669" s="99" t="n">
        <x:v>37</x:v>
      </x:c>
      <x:c r="D1669" s="99" t="str">
        <x:v>worry</x:v>
      </x:c>
      <x:c r="E1669" s="99" t="str">
        <x:v>/ˈwʌri/</x:v>
      </x:c>
      <x:c r="F1669" s="99" t="str">
        <x:v>担心；忧虑</x:v>
      </x:c>
      <x:c r="G1669" s="99" t="str">
        <x:v>37. worry /ˈwʌri/ 担心；忧虑</x:v>
      </x:c>
    </x:row>
    <x:row r="1670" ht="18" customHeight="1">
      <x:c r="A1670" s="99" t="str">
        <x:v>W</x:v>
      </x:c>
      <x:c r="B1670" s="99" t="str">
        <x:v>名词</x:v>
      </x:c>
      <x:c r="C1670" s="99" t="n">
        <x:v>38</x:v>
      </x:c>
      <x:c r="D1670" s="99" t="str">
        <x:v>write</x:v>
      </x:c>
      <x:c r="E1670" s="99" t="str">
        <x:v>/raɪt/</x:v>
      </x:c>
      <x:c r="F1670" s="99" t="str">
        <x:v>写作；书写（动词）</x:v>
      </x:c>
      <x:c r="G1670" s="99" t="str">
        <x:v>38. write /raɪt/ 写作；书写（动词）</x:v>
      </x:c>
    </x:row>
    <x:row r="1671" ht="18" customHeight="1">
      <x:c r="A1671" s="99" t="str">
        <x:v>W</x:v>
      </x:c>
      <x:c r="B1671" s="99" t="str">
        <x:v>名词</x:v>
      </x:c>
      <x:c r="C1671" s="99" t="n">
        <x:v>39</x:v>
      </x:c>
      <x:c r="D1671" s="99" t="str">
        <x:v>wrong</x:v>
      </x:c>
      <x:c r="E1671" s="99" t="str">
        <x:v>/rɒŋ/</x:v>
      </x:c>
      <x:c r="F1671" s="99" t="str">
        <x:v>错误；过失（兼作形容词）</x:v>
      </x:c>
      <x:c r="G1671" s="99" t="str">
        <x:v>39. wrong /rɒŋ/ 错误；过失（兼作形容词）</x:v>
      </x:c>
    </x:row>
    <x:row r="1672" ht="18" customHeight="1">
      <x:c r="A1672" s="99" t="str">
        <x:v>W</x:v>
      </x:c>
      <x:c r="B1672" s="99" t="str">
        <x:v>动词</x:v>
      </x:c>
      <x:c r="C1672" s="99" t="n">
        <x:v>1</x:v>
      </x:c>
      <x:c r="D1672" s="99" t="str">
        <x:v>wait</x:v>
      </x:c>
      <x:c r="E1672" s="99" t="str">
        <x:v>/weɪt/</x:v>
      </x:c>
      <x:c r="F1672" s="99" t="str">
        <x:v>等待；等候</x:v>
      </x:c>
      <x:c r="G1672" s="99" t="str">
        <x:v>1. wait /weɪt/ 等待；等候</x:v>
      </x:c>
    </x:row>
    <x:row r="1673" ht="18" customHeight="1">
      <x:c r="A1673" s="99" t="str">
        <x:v>W</x:v>
      </x:c>
      <x:c r="B1673" s="99" t="str">
        <x:v>动词</x:v>
      </x:c>
      <x:c r="C1673" s="99" t="n">
        <x:v>2</x:v>
      </x:c>
      <x:c r="D1673" s="99" t="str">
        <x:v>walk</x:v>
      </x:c>
      <x:c r="E1673" s="99" t="str">
        <x:v>/wɔːk/</x:v>
      </x:c>
      <x:c r="F1673" s="99" t="str">
        <x:v>步行；散步</x:v>
      </x:c>
      <x:c r="G1673" s="99" t="str">
        <x:v>2. walk /wɔːk/ 步行；散步</x:v>
      </x:c>
    </x:row>
    <x:row r="1674" ht="18" customHeight="1">
      <x:c r="A1674" s="99" t="str">
        <x:v>W</x:v>
      </x:c>
      <x:c r="B1674" s="99" t="str">
        <x:v>动词</x:v>
      </x:c>
      <x:c r="C1674" s="99" t="n">
        <x:v>3</x:v>
      </x:c>
      <x:c r="D1674" s="99" t="str">
        <x:v>want</x:v>
      </x:c>
      <x:c r="E1674" s="99" t="str">
        <x:v>/wɒnt/</x:v>
      </x:c>
      <x:c r="F1674" s="99" t="str">
        <x:v>想要；需要</x:v>
      </x:c>
      <x:c r="G1674" s="99" t="str">
        <x:v>3. want /wɒnt/ 想要；需要</x:v>
      </x:c>
    </x:row>
    <x:row r="1675" ht="18" customHeight="1">
      <x:c r="A1675" s="99" t="str">
        <x:v>W</x:v>
      </x:c>
      <x:c r="B1675" s="99" t="str">
        <x:v>动词</x:v>
      </x:c>
      <x:c r="C1675" s="99" t="n">
        <x:v>4</x:v>
      </x:c>
      <x:c r="D1675" s="99" t="str">
        <x:v>wash</x:v>
      </x:c>
      <x:c r="E1675" s="99" t="str">
        <x:v>/wɒʃ/</x:v>
      </x:c>
      <x:c r="F1675" s="99" t="str">
        <x:v>洗；洗涤</x:v>
      </x:c>
      <x:c r="G1675" s="99" t="str">
        <x:v>4. wash /wɒʃ/ 洗；洗涤</x:v>
      </x:c>
    </x:row>
    <x:row r="1676" ht="18" customHeight="1">
      <x:c r="A1676" s="99" t="str">
        <x:v>W</x:v>
      </x:c>
      <x:c r="B1676" s="99" t="str">
        <x:v>动词</x:v>
      </x:c>
      <x:c r="C1676" s="99" t="n">
        <x:v>5</x:v>
      </x:c>
      <x:c r="D1676" s="99" t="str">
        <x:v>watch</x:v>
      </x:c>
      <x:c r="E1676" s="99" t="str">
        <x:v>/wɒtʃ/</x:v>
      </x:c>
      <x:c r="F1676" s="99" t="str">
        <x:v>观看；注视</x:v>
      </x:c>
      <x:c r="G1676" s="99" t="str">
        <x:v>5. watch /wɒtʃ/ 观看；注视</x:v>
      </x:c>
    </x:row>
    <x:row r="1677" ht="18" customHeight="1">
      <x:c r="A1677" s="99" t="str">
        <x:v>W</x:v>
      </x:c>
      <x:c r="B1677" s="99" t="str">
        <x:v>动词</x:v>
      </x:c>
      <x:c r="C1677" s="99" t="n">
        <x:v>6</x:v>
      </x:c>
      <x:c r="D1677" s="99" t="str">
        <x:v>water</x:v>
      </x:c>
      <x:c r="E1677" s="99" t="str">
        <x:v>/ˈwɔːtə/</x:v>
      </x:c>
      <x:c r="F1677" s="99" t="str">
        <x:v>浇水；给……浇水</x:v>
      </x:c>
      <x:c r="G1677" s="99" t="str">
        <x:v>6. water /ˈwɔːtə/ 浇水；给……浇水</x:v>
      </x:c>
    </x:row>
    <x:row r="1678" ht="18" customHeight="1">
      <x:c r="A1678" s="99" t="str">
        <x:v>W</x:v>
      </x:c>
      <x:c r="B1678" s="99" t="str">
        <x:v>动词</x:v>
      </x:c>
      <x:c r="C1678" s="99" t="n">
        <x:v>7</x:v>
      </x:c>
      <x:c r="D1678" s="99" t="str">
        <x:v>wave</x:v>
      </x:c>
      <x:c r="E1678" s="99" t="str">
        <x:v>/weɪv/</x:v>
      </x:c>
      <x:c r="F1678" s="99" t="str">
        <x:v>挥手；摆动</x:v>
      </x:c>
      <x:c r="G1678" s="99" t="str">
        <x:v>7. wave /weɪv/ 挥手；摆动</x:v>
      </x:c>
    </x:row>
    <x:row r="1679" ht="18" customHeight="1">
      <x:c r="A1679" s="99" t="str">
        <x:v>W</x:v>
      </x:c>
      <x:c r="B1679" s="99" t="str">
        <x:v>动词</x:v>
      </x:c>
      <x:c r="C1679" s="99" t="n">
        <x:v>8</x:v>
      </x:c>
      <x:c r="D1679" s="99" t="str">
        <x:v>wear</x:v>
      </x:c>
      <x:c r="E1679" s="99" t="str">
        <x:v>/weə/</x:v>
      </x:c>
      <x:c r="F1679" s="99" t="str">
        <x:v>穿；戴</x:v>
      </x:c>
      <x:c r="G1679" s="99" t="str">
        <x:v>8. wear /weə/ 穿；戴</x:v>
      </x:c>
    </x:row>
    <x:row r="1680" ht="18" customHeight="1">
      <x:c r="A1680" s="99" t="str">
        <x:v>W</x:v>
      </x:c>
      <x:c r="B1680" s="99" t="str">
        <x:v>动词</x:v>
      </x:c>
      <x:c r="C1680" s="99" t="n">
        <x:v>9</x:v>
      </x:c>
      <x:c r="D1680" s="99" t="str">
        <x:v>welcome</x:v>
      </x:c>
      <x:c r="E1680" s="99" t="str">
        <x:v>/ˈwelkəm/</x:v>
      </x:c>
      <x:c r="F1680" s="99" t="str">
        <x:v>欢迎</x:v>
      </x:c>
      <x:c r="G1680" s="99" t="str">
        <x:v>9. welcome /ˈwelkəm/ 欢迎</x:v>
      </x:c>
    </x:row>
    <x:row r="1681" ht="18" customHeight="1">
      <x:c r="A1681" s="99" t="str">
        <x:v>W</x:v>
      </x:c>
      <x:c r="B1681" s="99" t="str">
        <x:v>动词</x:v>
      </x:c>
      <x:c r="C1681" s="99" t="n">
        <x:v>10</x:v>
      </x:c>
      <x:c r="D1681" s="99" t="str">
        <x:v>will</x:v>
      </x:c>
      <x:c r="E1681" s="99" t="str">
        <x:v>/wɪl/</x:v>
      </x:c>
      <x:c r="F1681" s="99" t="str">
        <x:v>愿意；将要（情态动词）</x:v>
      </x:c>
      <x:c r="G1681" s="99" t="str">
        <x:v>10. will /wɪl/ 愿意；将要（情态动词）</x:v>
      </x:c>
    </x:row>
    <x:row r="1682" ht="18" customHeight="1">
      <x:c r="A1682" s="99" t="str">
        <x:v>W</x:v>
      </x:c>
      <x:c r="B1682" s="99" t="str">
        <x:v>动词</x:v>
      </x:c>
      <x:c r="C1682" s="99" t="n">
        <x:v>11</x:v>
      </x:c>
      <x:c r="D1682" s="99" t="str">
        <x:v>win</x:v>
      </x:c>
      <x:c r="E1682" s="99" t="str">
        <x:v>/wɪn/</x:v>
      </x:c>
      <x:c r="F1682" s="99" t="str">
        <x:v>赢；获胜</x:v>
      </x:c>
      <x:c r="G1682" s="99" t="str">
        <x:v>11. win /wɪn/ 赢；获胜</x:v>
      </x:c>
    </x:row>
    <x:row r="1683" ht="18" customHeight="1">
      <x:c r="A1683" s="99" t="str">
        <x:v>W</x:v>
      </x:c>
      <x:c r="B1683" s="99" t="str">
        <x:v>动词</x:v>
      </x:c>
      <x:c r="C1683" s="99" t="n">
        <x:v>12</x:v>
      </x:c>
      <x:c r="D1683" s="99" t="str">
        <x:v>wish</x:v>
      </x:c>
      <x:c r="E1683" s="99" t="str">
        <x:v>/wɪʃ/</x:v>
      </x:c>
      <x:c r="F1683" s="99" t="str">
        <x:v>希望；祝愿</x:v>
      </x:c>
      <x:c r="G1683" s="99" t="str">
        <x:v>12. wish /wɪʃ/ 希望；祝愿</x:v>
      </x:c>
    </x:row>
    <x:row r="1684" ht="18" customHeight="1">
      <x:c r="A1684" s="99" t="str">
        <x:v>W</x:v>
      </x:c>
      <x:c r="B1684" s="99" t="str">
        <x:v>动词</x:v>
      </x:c>
      <x:c r="C1684" s="99" t="n">
        <x:v>13</x:v>
      </x:c>
      <x:c r="D1684" s="99" t="str">
        <x:v>work</x:v>
      </x:c>
      <x:c r="E1684" s="99" t="str">
        <x:v>/wɜːk/</x:v>
      </x:c>
      <x:c r="F1684" s="99" t="str">
        <x:v>工作；劳动</x:v>
      </x:c>
      <x:c r="G1684" s="99" t="str">
        <x:v>13. work /wɜːk/ 工作；劳动</x:v>
      </x:c>
    </x:row>
    <x:row r="1685" ht="18" customHeight="1">
      <x:c r="A1685" s="99" t="str">
        <x:v>W</x:v>
      </x:c>
      <x:c r="B1685" s="99" t="str">
        <x:v>动词</x:v>
      </x:c>
      <x:c r="C1685" s="99" t="n">
        <x:v>14</x:v>
      </x:c>
      <x:c r="D1685" s="99" t="str">
        <x:v>worry</x:v>
      </x:c>
      <x:c r="E1685" s="99" t="str">
        <x:v>/ˈwʌri/</x:v>
      </x:c>
      <x:c r="F1685" s="99" t="str">
        <x:v>担心；忧虑</x:v>
      </x:c>
      <x:c r="G1685" s="99" t="str">
        <x:v>14. worry /ˈwʌri/ 担心；忧虑</x:v>
      </x:c>
    </x:row>
    <x:row r="1686" ht="18" customHeight="1">
      <x:c r="A1686" s="99" t="str">
        <x:v>W</x:v>
      </x:c>
      <x:c r="B1686" s="99" t="str">
        <x:v>动词</x:v>
      </x:c>
      <x:c r="C1686" s="99" t="n">
        <x:v>15</x:v>
      </x:c>
      <x:c r="D1686" s="99" t="str">
        <x:v>write</x:v>
      </x:c>
      <x:c r="E1686" s="99" t="str">
        <x:v>/raɪt/</x:v>
      </x:c>
      <x:c r="F1686" s="99" t="str">
        <x:v>写；写作；书写</x:v>
      </x:c>
      <x:c r="G1686" s="99" t="str">
        <x:v>15. write /raɪt/ 写；写作；书写</x:v>
      </x:c>
    </x:row>
    <x:row r="1687" ht="18" customHeight="1">
      <x:c r="A1687" s="99" t="str">
        <x:v>W</x:v>
      </x:c>
      <x:c r="B1687" s="99" t="str">
        <x:v>形容词</x:v>
      </x:c>
      <x:c r="C1687" s="99" t="n">
        <x:v>1</x:v>
      </x:c>
      <x:c r="D1687" s="99" t="str">
        <x:v>warm</x:v>
      </x:c>
      <x:c r="E1687" s="99" t="str">
        <x:v>/wɔːm/</x:v>
      </x:c>
      <x:c r="F1687" s="99" t="str">
        <x:v>温暖的；暖和的</x:v>
      </x:c>
      <x:c r="G1687" s="99" t="str">
        <x:v>1. warm /wɔːm/ 温暖的；暖和的</x:v>
      </x:c>
    </x:row>
    <x:row r="1688" ht="18" customHeight="1">
      <x:c r="A1688" s="99" t="str">
        <x:v>W</x:v>
      </x:c>
      <x:c r="B1688" s="99" t="str">
        <x:v>形容词</x:v>
      </x:c>
      <x:c r="C1688" s="99" t="n">
        <x:v>2</x:v>
      </x:c>
      <x:c r="D1688" s="99" t="str">
        <x:v>weak</x:v>
      </x:c>
      <x:c r="E1688" s="99" t="str">
        <x:v>/wiːk/</x:v>
      </x:c>
      <x:c r="F1688" s="99" t="str">
        <x:v>虚弱的；无力的</x:v>
      </x:c>
      <x:c r="G1688" s="99" t="str">
        <x:v>2. weak /wiːk/ 虚弱的；无力的</x:v>
      </x:c>
    </x:row>
    <x:row r="1689" ht="18" customHeight="1">
      <x:c r="A1689" s="99" t="str">
        <x:v>W</x:v>
      </x:c>
      <x:c r="B1689" s="99" t="str">
        <x:v>形容词</x:v>
      </x:c>
      <x:c r="C1689" s="99" t="n">
        <x:v>3</x:v>
      </x:c>
      <x:c r="D1689" s="99" t="str">
        <x:v>well</x:v>
      </x:c>
      <x:c r="E1689" s="99" t="str">
        <x:v>/wel/</x:v>
      </x:c>
      <x:c r="F1689" s="99" t="str">
        <x:v>健康的；良好的</x:v>
      </x:c>
      <x:c r="G1689" s="99" t="str">
        <x:v>3. well /wel/ 健康的；良好的</x:v>
      </x:c>
    </x:row>
    <x:row r="1690" ht="18" customHeight="1">
      <x:c r="A1690" s="99" t="str">
        <x:v>W</x:v>
      </x:c>
      <x:c r="B1690" s="99" t="str">
        <x:v>形容词</x:v>
      </x:c>
      <x:c r="C1690" s="99" t="n">
        <x:v>4</x:v>
      </x:c>
      <x:c r="D1690" s="99" t="str">
        <x:v>wet</x:v>
      </x:c>
      <x:c r="E1690" s="99" t="str">
        <x:v>/wet/</x:v>
      </x:c>
      <x:c r="F1690" s="99" t="str">
        <x:v>湿的；潮湿的</x:v>
      </x:c>
      <x:c r="G1690" s="99" t="str">
        <x:v>4. wet /wet/ 湿的；潮湿的</x:v>
      </x:c>
    </x:row>
    <x:row r="1691" ht="18" customHeight="1">
      <x:c r="A1691" s="99" t="str">
        <x:v>W</x:v>
      </x:c>
      <x:c r="B1691" s="99" t="str">
        <x:v>形容词</x:v>
      </x:c>
      <x:c r="C1691" s="99" t="n">
        <x:v>5</x:v>
      </x:c>
      <x:c r="D1691" s="99" t="str">
        <x:v>western</x:v>
      </x:c>
      <x:c r="E1691" s="99" t="str">
        <x:v>/ˈwestən/</x:v>
      </x:c>
      <x:c r="F1691" s="99" t="str">
        <x:v>西方的；西部的</x:v>
      </x:c>
      <x:c r="G1691" s="99" t="str">
        <x:v>5. western /ˈwestən/ 西方的；西部的</x:v>
      </x:c>
    </x:row>
    <x:row r="1692" ht="18" customHeight="1">
      <x:c r="A1692" s="99" t="str">
        <x:v>W</x:v>
      </x:c>
      <x:c r="B1692" s="99" t="str">
        <x:v>形容词</x:v>
      </x:c>
      <x:c r="C1692" s="99" t="n">
        <x:v>6</x:v>
      </x:c>
      <x:c r="D1692" s="99" t="str">
        <x:v>white</x:v>
      </x:c>
      <x:c r="E1692" s="99" t="str">
        <x:v>/waɪt/</x:v>
      </x:c>
      <x:c r="F1692" s="99" t="str">
        <x:v>白色的</x:v>
      </x:c>
      <x:c r="G1692" s="99" t="str">
        <x:v>6. white /waɪt/ 白色的</x:v>
      </x:c>
    </x:row>
    <x:row r="1693" ht="18" customHeight="1">
      <x:c r="A1693" s="99" t="str">
        <x:v>W</x:v>
      </x:c>
      <x:c r="B1693" s="99" t="str">
        <x:v>形容词</x:v>
      </x:c>
      <x:c r="C1693" s="99" t="n">
        <x:v>7</x:v>
      </x:c>
      <x:c r="D1693" s="99" t="str">
        <x:v>wide</x:v>
      </x:c>
      <x:c r="E1693" s="99" t="str">
        <x:v>/waɪd/</x:v>
      </x:c>
      <x:c r="F1693" s="99" t="str">
        <x:v>宽的；宽阔的</x:v>
      </x:c>
      <x:c r="G1693" s="99" t="str">
        <x:v>7. wide /waɪd/ 宽的；宽阔的</x:v>
      </x:c>
    </x:row>
    <x:row r="1694" ht="18" customHeight="1">
      <x:c r="A1694" s="99" t="str">
        <x:v>W</x:v>
      </x:c>
      <x:c r="B1694" s="99" t="str">
        <x:v>形容词</x:v>
      </x:c>
      <x:c r="C1694" s="99" t="n">
        <x:v>8</x:v>
      </x:c>
      <x:c r="D1694" s="99" t="str">
        <x:v>wild</x:v>
      </x:c>
      <x:c r="E1694" s="99" t="str">
        <x:v>/waɪld/</x:v>
      </x:c>
      <x:c r="F1694" s="99" t="str">
        <x:v>野生的；未开发的</x:v>
      </x:c>
      <x:c r="G1694" s="99" t="str">
        <x:v>8. wild /waɪld/ 野生的；未开发的</x:v>
      </x:c>
    </x:row>
    <x:row r="1695" ht="18" customHeight="1">
      <x:c r="A1695" s="99" t="str">
        <x:v>W</x:v>
      </x:c>
      <x:c r="B1695" s="99" t="str">
        <x:v>形容词</x:v>
      </x:c>
      <x:c r="C1695" s="99" t="n">
        <x:v>9</x:v>
      </x:c>
      <x:c r="D1695" s="99" t="str">
        <x:v>windy</x:v>
      </x:c>
      <x:c r="E1695" s="99" t="str">
        <x:v>/ˈwɪndi/</x:v>
      </x:c>
      <x:c r="F1695" s="99" t="str">
        <x:v>多风的；刮风的</x:v>
      </x:c>
      <x:c r="G1695" s="99" t="str">
        <x:v>9. windy /ˈwɪndi/ 多风的；刮风的</x:v>
      </x:c>
    </x:row>
    <x:row r="1696" ht="18" customHeight="1">
      <x:c r="A1696" s="99" t="str">
        <x:v>W</x:v>
      </x:c>
      <x:c r="B1696" s="99" t="str">
        <x:v>形容词</x:v>
      </x:c>
      <x:c r="C1696" s="99" t="n">
        <x:v>10</x:v>
      </x:c>
      <x:c r="D1696" s="99" t="str">
        <x:v>wise</x:v>
      </x:c>
      <x:c r="E1696" s="99" t="str">
        <x:v>/waɪz/</x:v>
      </x:c>
      <x:c r="F1696" s="99" t="str">
        <x:v>明智的；聪明的</x:v>
      </x:c>
      <x:c r="G1696" s="99" t="str">
        <x:v>10. wise /waɪz/ 明智的；聪明的</x:v>
      </x:c>
    </x:row>
    <x:row r="1697" ht="18" customHeight="1">
      <x:c r="A1697" s="99" t="str">
        <x:v>W</x:v>
      </x:c>
      <x:c r="B1697" s="99" t="str">
        <x:v>形容词</x:v>
      </x:c>
      <x:c r="C1697" s="99" t="n">
        <x:v>11</x:v>
      </x:c>
      <x:c r="D1697" s="99" t="str">
        <x:v>wonderful</x:v>
      </x:c>
      <x:c r="E1697" s="99" t="str">
        <x:v>/ˈwʌndəfl/</x:v>
      </x:c>
      <x:c r="F1697" s="99" t="str">
        <x:v>极好的；精彩的</x:v>
      </x:c>
      <x:c r="G1697" s="99" t="str">
        <x:v>11. wonderful /ˈwʌndəfl/ 极好的；精彩的</x:v>
      </x:c>
    </x:row>
    <x:row r="1698" ht="18" customHeight="1">
      <x:c r="A1698" s="99" t="str">
        <x:v>W</x:v>
      </x:c>
      <x:c r="B1698" s="99" t="str">
        <x:v>形容词</x:v>
      </x:c>
      <x:c r="C1698" s="99" t="n">
        <x:v>12</x:v>
      </x:c>
      <x:c r="D1698" s="99" t="str">
        <x:v>wrong</x:v>
      </x:c>
      <x:c r="E1698" s="99" t="str">
        <x:v>/rɒŋ/</x:v>
      </x:c>
      <x:c r="F1698" s="99" t="str">
        <x:v>错误的；不对的</x:v>
      </x:c>
      <x:c r="G1698" s="99" t="str">
        <x:v>12. wrong /rɒŋ/ 错误的；不对的</x:v>
      </x:c>
    </x:row>
    <x:row r="1699" ht="18" customHeight="1">
      <x:c r="A1699" s="99" t="str">
        <x:v>W</x:v>
      </x:c>
      <x:c r="B1699" s="99" t="str">
        <x:v>副词</x:v>
      </x:c>
      <x:c r="C1699" s="99" t="n">
        <x:v>1</x:v>
      </x:c>
      <x:c r="D1699" s="99" t="str">
        <x:v>well</x:v>
      </x:c>
      <x:c r="E1699" s="99" t="str">
        <x:v>/wel/</x:v>
      </x:c>
      <x:c r="F1699" s="99" t="str">
        <x:v>好；令人满意地</x:v>
      </x:c>
      <x:c r="G1699" s="99" t="str">
        <x:v>1. well /wel/ 好；令人满意地</x:v>
      </x:c>
    </x:row>
    <x:row r="1700" ht="18" customHeight="1">
      <x:c r="A1700" s="99" t="str">
        <x:v>W</x:v>
      </x:c>
      <x:c r="B1700" s="99" t="str">
        <x:v>副词</x:v>
      </x:c>
      <x:c r="C1700" s="99" t="n">
        <x:v>2</x:v>
      </x:c>
      <x:c r="D1700" s="99" t="str">
        <x:v>west</x:v>
      </x:c>
      <x:c r="E1700" s="99" t="str">
        <x:v>/west/</x:v>
      </x:c>
      <x:c r="F1700" s="99" t="str">
        <x:v>向西；朝西</x:v>
      </x:c>
      <x:c r="G1700" s="99" t="str">
        <x:v>2. west /west/ 向西；朝西</x:v>
      </x:c>
    </x:row>
    <x:row r="1701" ht="18" customHeight="1">
      <x:c r="A1701" s="99" t="str">
        <x:v>W</x:v>
      </x:c>
      <x:c r="B1701" s="99" t="str">
        <x:v>代词</x:v>
      </x:c>
      <x:c r="C1701" s="99" t="n">
        <x:v>1</x:v>
      </x:c>
      <x:c r="D1701" s="99" t="str">
        <x:v>we</x:v>
      </x:c>
      <x:c r="E1701" s="99" t="str">
        <x:v>/wiː/</x:v>
      </x:c>
      <x:c r="F1701" s="99" t="str">
        <x:v>我们</x:v>
      </x:c>
      <x:c r="G1701" s="99" t="str">
        <x:v>1. we /wiː/ 我们</x:v>
      </x:c>
    </x:row>
    <x:row r="1702" ht="18" customHeight="1">
      <x:c r="A1702" s="99" t="str">
        <x:v>W</x:v>
      </x:c>
      <x:c r="B1702" s="99" t="str">
        <x:v>代词</x:v>
      </x:c>
      <x:c r="C1702" s="99" t="n">
        <x:v>2</x:v>
      </x:c>
      <x:c r="D1702" s="99" t="str">
        <x:v>us</x:v>
      </x:c>
      <x:c r="E1702" s="99" t="str">
        <x:v>/ʌs/</x:v>
      </x:c>
      <x:c r="F1702" s="99" t="str">
        <x:v>我们（宾格）</x:v>
      </x:c>
      <x:c r="G1702" s="99" t="str">
        <x:v>2. us /ʌs/ 我们（宾格）</x:v>
      </x:c>
    </x:row>
    <x:row r="1703" ht="18" customHeight="1">
      <x:c r="A1703" s="99" t="str">
        <x:v>W</x:v>
      </x:c>
      <x:c r="B1703" s="99" t="str">
        <x:v>代词</x:v>
      </x:c>
      <x:c r="C1703" s="99" t="n">
        <x:v>3</x:v>
      </x:c>
      <x:c r="D1703" s="99" t="str">
        <x:v>our</x:v>
      </x:c>
      <x:c r="E1703" s="99" t="str">
        <x:v>/ˈaʊə/</x:v>
      </x:c>
      <x:c r="F1703" s="99" t="str">
        <x:v>我们的（形容词性物主代词）</x:v>
      </x:c>
      <x:c r="G1703" s="99" t="str">
        <x:v>3. our /ˈaʊə/ 我们的（形容词性物主代词）</x:v>
      </x:c>
    </x:row>
    <x:row r="1704" ht="18" customHeight="1">
      <x:c r="A1704" s="99" t="str">
        <x:v>W</x:v>
      </x:c>
      <x:c r="B1704" s="99" t="str">
        <x:v>代词</x:v>
      </x:c>
      <x:c r="C1704" s="99" t="n">
        <x:v>4</x:v>
      </x:c>
      <x:c r="D1704" s="99" t="str">
        <x:v>ours</x:v>
      </x:c>
      <x:c r="E1704" s="99" t="str">
        <x:v>/ˈaʊəz/</x:v>
      </x:c>
      <x:c r="F1704" s="99" t="str">
        <x:v>我们的（名词性物主代词）</x:v>
      </x:c>
      <x:c r="G1704" s="99" t="str">
        <x:v>4. ours /ˈaʊəz/ 我们的（名词性物主代词）</x:v>
      </x:c>
    </x:row>
    <x:row r="1705" ht="18" customHeight="1">
      <x:c r="A1705" s="99" t="str">
        <x:v>W</x:v>
      </x:c>
      <x:c r="B1705" s="99" t="str">
        <x:v>代词</x:v>
      </x:c>
      <x:c r="C1705" s="99" t="n">
        <x:v>5</x:v>
      </x:c>
      <x:c r="D1705" s="99" t="str">
        <x:v>ourselves</x:v>
      </x:c>
      <x:c r="E1705" s="99" t="str">
        <x:v>/ˌaʊəˈselvz/</x:v>
      </x:c>
      <x:c r="F1705" s="99" t="str">
        <x:v>我们自己</x:v>
      </x:c>
      <x:c r="G1705" s="99" t="str">
        <x:v>5. ourselves /ˌaʊəˈselvz/ 我们自己</x:v>
      </x:c>
    </x:row>
    <x:row r="1706" ht="18" customHeight="1">
      <x:c r="A1706" s="99" t="str">
        <x:v>W</x:v>
      </x:c>
      <x:c r="B1706" s="99" t="str">
        <x:v>代词</x:v>
      </x:c>
      <x:c r="C1706" s="99" t="n">
        <x:v>6</x:v>
      </x:c>
      <x:c r="D1706" s="99" t="str">
        <x:v>what</x:v>
      </x:c>
      <x:c r="E1706" s="99" t="str">
        <x:v>/wɒt/</x:v>
      </x:c>
      <x:c r="F1706" s="99" t="str">
        <x:v>什么</x:v>
      </x:c>
      <x:c r="G1706" s="99" t="str">
        <x:v>6. what /wɒt/ 什么</x:v>
      </x:c>
    </x:row>
    <x:row r="1707" ht="18" customHeight="1">
      <x:c r="A1707" s="99" t="str">
        <x:v>W</x:v>
      </x:c>
      <x:c r="B1707" s="99" t="str">
        <x:v>代词</x:v>
      </x:c>
      <x:c r="C1707" s="99" t="n">
        <x:v>7</x:v>
      </x:c>
      <x:c r="D1707" s="99" t="str">
        <x:v>which</x:v>
      </x:c>
      <x:c r="E1707" s="99" t="str">
        <x:v>/wɪtʃ/</x:v>
      </x:c>
      <x:c r="F1707" s="99" t="str">
        <x:v>哪一个</x:v>
      </x:c>
      <x:c r="G1707" s="99" t="str">
        <x:v>7. which /wɪtʃ/ 哪一个</x:v>
      </x:c>
    </x:row>
    <x:row r="1708" ht="18" customHeight="1">
      <x:c r="A1708" s="99" t="str">
        <x:v>W</x:v>
      </x:c>
      <x:c r="B1708" s="99" t="str">
        <x:v>代词</x:v>
      </x:c>
      <x:c r="C1708" s="99" t="n">
        <x:v>8</x:v>
      </x:c>
      <x:c r="D1708" s="99" t="str">
        <x:v>who</x:v>
      </x:c>
      <x:c r="E1708" s="99" t="str">
        <x:v>/huː/</x:v>
      </x:c>
      <x:c r="F1708" s="99" t="str">
        <x:v>谁</x:v>
      </x:c>
      <x:c r="G1708" s="99" t="str">
        <x:v>8. who /huː/ 谁</x:v>
      </x:c>
    </x:row>
    <x:row r="1709" ht="18" customHeight="1">
      <x:c r="A1709" s="99" t="str">
        <x:v>W</x:v>
      </x:c>
      <x:c r="B1709" s="99" t="str">
        <x:v>代词</x:v>
      </x:c>
      <x:c r="C1709" s="99" t="n">
        <x:v>9</x:v>
      </x:c>
      <x:c r="D1709" s="99" t="str">
        <x:v>whom</x:v>
      </x:c>
      <x:c r="E1709" s="99" t="str">
        <x:v>/huːm/</x:v>
      </x:c>
      <x:c r="F1709" s="99" t="str">
        <x:v>谁（宾格）</x:v>
      </x:c>
      <x:c r="G1709" s="99" t="str">
        <x:v>9. whom /huːm/ 谁（宾格）</x:v>
      </x:c>
    </x:row>
    <x:row r="1710" ht="18" customHeight="1">
      <x:c r="A1710" s="99" t="str">
        <x:v>W</x:v>
      </x:c>
      <x:c r="B1710" s="99" t="str">
        <x:v>代词</x:v>
      </x:c>
      <x:c r="C1710" s="99" t="n">
        <x:v>10</x:v>
      </x:c>
      <x:c r="D1710" s="99" t="str">
        <x:v>whose</x:v>
      </x:c>
      <x:c r="E1710" s="99" t="str">
        <x:v>/huːz/</x:v>
      </x:c>
      <x:c r="F1710" s="99" t="str">
        <x:v>谁的</x:v>
      </x:c>
      <x:c r="G1710" s="99" t="str">
        <x:v>10. whose /huːz/ 谁的</x:v>
      </x:c>
    </x:row>
    <x:row r="1711" ht="18" customHeight="1">
      <x:c r="A1711" s="99" t="str">
        <x:v>W</x:v>
      </x:c>
      <x:c r="B1711" s="99" t="str">
        <x:v>介词</x:v>
      </x:c>
      <x:c r="C1711" s="99" t="n">
        <x:v>1</x:v>
      </x:c>
      <x:c r="D1711" s="99" t="str">
        <x:v>with</x:v>
      </x:c>
      <x:c r="E1711" s="99" t="str">
        <x:v>/wɪð/</x:v>
      </x:c>
      <x:c r="F1711" s="99" t="str">
        <x:v>和……一起；带有；使用</x:v>
      </x:c>
      <x:c r="G1711" s="99" t="str">
        <x:v>1. with /wɪð/ 和……一起；带有；使用</x:v>
      </x:c>
    </x:row>
    <x:row r="1712" ht="18" customHeight="1">
      <x:c r="A1712" s="99" t="str">
        <x:v>W</x:v>
      </x:c>
      <x:c r="B1712" s="99" t="str">
        <x:v>介词</x:v>
      </x:c>
      <x:c r="C1712" s="99" t="n">
        <x:v>2</x:v>
      </x:c>
      <x:c r="D1712" s="99" t="str">
        <x:v>without</x:v>
      </x:c>
      <x:c r="E1712" s="99" t="str">
        <x:v>/wɪˈðaʊt/</x:v>
      </x:c>
      <x:c r="F1712" s="99" t="str">
        <x:v>没有；缺乏</x:v>
      </x:c>
      <x:c r="G1712" s="99" t="str">
        <x:v>2. without /wɪˈðaʊt/ 没有；缺乏</x:v>
      </x:c>
    </x:row>
    <x:row r="1713" ht="18" customHeight="1">
      <x:c r="A1713" s="99" t="str">
        <x:v>W</x:v>
      </x:c>
      <x:c r="B1713" s="99" t="str">
        <x:v>连词</x:v>
      </x:c>
      <x:c r="C1713" s="99" t="n">
        <x:v>1</x:v>
      </x:c>
      <x:c r="D1713" s="99" t="str">
        <x:v>when</x:v>
      </x:c>
      <x:c r="E1713" s="99" t="str">
        <x:v>/wen/</x:v>
      </x:c>
      <x:c r="F1713" s="99" t="str">
        <x:v>当……的时候</x:v>
      </x:c>
      <x:c r="G1713" s="99" t="str">
        <x:v>1. when /wen/ 当……的时候</x:v>
      </x:c>
    </x:row>
    <x:row r="1714" ht="18" customHeight="1">
      <x:c r="A1714" s="99" t="str">
        <x:v>W</x:v>
      </x:c>
      <x:c r="B1714" s="99" t="str">
        <x:v>连词</x:v>
      </x:c>
      <x:c r="C1714" s="99" t="n">
        <x:v>2</x:v>
      </x:c>
      <x:c r="D1714" s="99" t="str">
        <x:v>where</x:v>
      </x:c>
      <x:c r="E1714" s="99" t="str">
        <x:v>/weə/</x:v>
      </x:c>
      <x:c r="F1714" s="99" t="str">
        <x:v>在……地方</x:v>
      </x:c>
      <x:c r="G1714" s="99" t="str">
        <x:v>2. where /weə/ 在……地方</x:v>
      </x:c>
    </x:row>
    <x:row r="1715" ht="18" customHeight="1">
      <x:c r="A1715" s="99" t="str">
        <x:v>W</x:v>
      </x:c>
      <x:c r="B1715" s="99" t="str">
        <x:v>连词</x:v>
      </x:c>
      <x:c r="C1715" s="99" t="n">
        <x:v>3</x:v>
      </x:c>
      <x:c r="D1715" s="99" t="str">
        <x:v>whether</x:v>
      </x:c>
      <x:c r="E1715" s="99" t="str">
        <x:v>/ˈweðə/</x:v>
      </x:c>
      <x:c r="F1715" s="99" t="str">
        <x:v>是否</x:v>
      </x:c>
      <x:c r="G1715" s="99" t="str">
        <x:v>3. whether /ˈweðə/ 是否</x:v>
      </x:c>
    </x:row>
    <x:row r="1716" ht="18" customHeight="1">
      <x:c r="A1716" s="99" t="str">
        <x:v>W</x:v>
      </x:c>
      <x:c r="B1716" s="99" t="str">
        <x:v>连词</x:v>
      </x:c>
      <x:c r="C1716" s="99" t="n">
        <x:v>4</x:v>
      </x:c>
      <x:c r="D1716" s="99" t="str">
        <x:v>while</x:v>
      </x:c>
      <x:c r="E1716" s="99" t="str">
        <x:v>/waɪl/</x:v>
      </x:c>
      <x:c r="F1716" s="99" t="str">
        <x:v>当……的时候；然而</x:v>
      </x:c>
      <x:c r="G1716" s="99" t="str">
        <x:v>4. while /waɪl/ 当……的时候；然而</x:v>
      </x:c>
    </x:row>
    <x:row r="1717" ht="18" customHeight="1">
      <x:c r="A1717" s="99" t="str">
        <x:v>W</x:v>
      </x:c>
      <x:c r="B1717" s="99" t="str">
        <x:v>连词</x:v>
      </x:c>
      <x:c r="C1717" s="99" t="n">
        <x:v>5</x:v>
      </x:c>
      <x:c r="D1717" s="99" t="str">
        <x:v>why</x:v>
      </x:c>
      <x:c r="E1717" s="99" t="str">
        <x:v>/waɪ/</x:v>
      </x:c>
      <x:c r="F1717" s="99" t="str">
        <x:v>为什么</x:v>
      </x:c>
      <x:c r="G1717" s="99" t="str">
        <x:v>5. why /waɪ/ 为什么</x:v>
      </x:c>
    </x:row>
    <x:row r="1718" ht="18" customHeight="1">
      <x:c r="A1718" s="99" t="str">
        <x:v>W</x:v>
      </x:c>
      <x:c r="B1718" s="99" t="str">
        <x:v>短语</x:v>
      </x:c>
      <x:c r="C1718" s="99" t="n">
        <x:v>1</x:v>
      </x:c>
      <x:c r="D1718" s="99" t="str">
        <x:v>wait</x:v>
      </x:c>
      <x:c r="E1718" s="99" t="str"/>
      <x:c r="F1718" s="99" t="str">
        <x:v>for 等待；等候</x:v>
      </x:c>
      <x:c r="G1718" s="99" t="str">
        <x:v>1. wait for 等待；等候</x:v>
      </x:c>
    </x:row>
    <x:row r="1719" ht="18" customHeight="1">
      <x:c r="A1719" s="99" t="str">
        <x:v>W</x:v>
      </x:c>
      <x:c r="B1719" s="99" t="str">
        <x:v>短语</x:v>
      </x:c>
      <x:c r="C1719" s="99" t="n">
        <x:v>2</x:v>
      </x:c>
      <x:c r="D1719" s="99" t="str">
        <x:v>walk</x:v>
      </x:c>
      <x:c r="E1719" s="99" t="str"/>
      <x:c r="F1719" s="99" t="str">
        <x:v>away 走开；离开</x:v>
      </x:c>
      <x:c r="G1719" s="99" t="str">
        <x:v>2. walk away 走开；离开</x:v>
      </x:c>
    </x:row>
    <x:row r="1720" ht="18" customHeight="1">
      <x:c r="A1720" s="99" t="str">
        <x:v>W</x:v>
      </x:c>
      <x:c r="B1720" s="99" t="str">
        <x:v>短语</x:v>
      </x:c>
      <x:c r="C1720" s="99" t="n">
        <x:v>3</x:v>
      </x:c>
      <x:c r="D1720" s="99" t="str">
        <x:v>want</x:v>
      </x:c>
      <x:c r="E1720" s="99" t="str"/>
      <x:c r="F1720" s="99" t="str">
        <x:v>to do sth. 想要做某事</x:v>
      </x:c>
      <x:c r="G1720" s="99" t="str">
        <x:v>3. want to do sth. 想要做某事</x:v>
      </x:c>
    </x:row>
    <x:row r="1721" ht="18" customHeight="1">
      <x:c r="A1721" s="99" t="str">
        <x:v>W</x:v>
      </x:c>
      <x:c r="B1721" s="99" t="str">
        <x:v>短语</x:v>
      </x:c>
      <x:c r="C1721" s="99" t="n">
        <x:v>4</x:v>
      </x:c>
      <x:c r="D1721" s="99" t="str">
        <x:v>wash</x:v>
      </x:c>
      <x:c r="E1721" s="99" t="str"/>
      <x:c r="F1721" s="99" t="str">
        <x:v>up 洗餐具；洗手洗脸</x:v>
      </x:c>
      <x:c r="G1721" s="99" t="str">
        <x:v>4. wash up 洗餐具；洗手洗脸</x:v>
      </x:c>
    </x:row>
    <x:row r="1722" ht="18" customHeight="1">
      <x:c r="A1722" s="99" t="str">
        <x:v>W</x:v>
      </x:c>
      <x:c r="B1722" s="99" t="str">
        <x:v>短语</x:v>
      </x:c>
      <x:c r="C1722" s="99" t="n">
        <x:v>5</x:v>
      </x:c>
      <x:c r="D1722" s="99" t="str">
        <x:v>watch</x:v>
      </x:c>
      <x:c r="E1722" s="99" t="str"/>
      <x:c r="F1722" s="99" t="str">
        <x:v>TV 看电视</x:v>
      </x:c>
      <x:c r="G1722" s="99" t="str">
        <x:v>5. watch TV 看电视</x:v>
      </x:c>
    </x:row>
    <x:row r="1723" ht="18" customHeight="1">
      <x:c r="A1723" s="99" t="str">
        <x:v>W</x:v>
      </x:c>
      <x:c r="B1723" s="99" t="str">
        <x:v>短语</x:v>
      </x:c>
      <x:c r="C1723" s="99" t="n">
        <x:v>6</x:v>
      </x:c>
      <x:c r="D1723" s="99" t="str">
        <x:v>wave</x:v>
      </x:c>
      <x:c r="E1723" s="99" t="str"/>
      <x:c r="F1723" s="99" t="str">
        <x:v>goodbye to 向……挥手告别</x:v>
      </x:c>
      <x:c r="G1723" s="99" t="str">
        <x:v>6. wave goodbye to 向……挥手告别</x:v>
      </x:c>
    </x:row>
    <x:row r="1724" ht="18" customHeight="1">
      <x:c r="A1724" s="99" t="str">
        <x:v>W</x:v>
      </x:c>
      <x:c r="B1724" s="99" t="str">
        <x:v>短语</x:v>
      </x:c>
      <x:c r="C1724" s="99" t="n">
        <x:v>7</x:v>
      </x:c>
      <x:c r="D1724" s="99" t="str">
        <x:v>wear</x:v>
      </x:c>
      <x:c r="E1724" s="99" t="str"/>
      <x:c r="F1724" s="99" t="str">
        <x:v>out 穿破；用坏</x:v>
      </x:c>
      <x:c r="G1724" s="99" t="str">
        <x:v>7. wear out 穿破；用坏</x:v>
      </x:c>
    </x:row>
    <x:row r="1725" ht="18" customHeight="1">
      <x:c r="A1725" s="99" t="str">
        <x:v>W</x:v>
      </x:c>
      <x:c r="B1725" s="99" t="str">
        <x:v>短语</x:v>
      </x:c>
      <x:c r="C1725" s="99" t="n">
        <x:v>8</x:v>
      </x:c>
      <x:c r="D1725" s="99" t="str">
        <x:v>welcome</x:v>
      </x:c>
      <x:c r="E1725" s="99" t="str"/>
      <x:c r="F1725" s="99" t="str">
        <x:v>to… 欢迎来到……</x:v>
      </x:c>
      <x:c r="G1725" s="99" t="str">
        <x:v>8. welcome to… 欢迎来到……</x:v>
      </x:c>
    </x:row>
    <x:row r="1726" ht="18" customHeight="1">
      <x:c r="A1726" s="99" t="str">
        <x:v>W</x:v>
      </x:c>
      <x:c r="B1726" s="99" t="str">
        <x:v>短语</x:v>
      </x:c>
      <x:c r="C1726" s="99" t="n">
        <x:v>9</x:v>
      </x:c>
      <x:c r="D1726" s="99" t="str">
        <x:v>well</x:v>
      </x:c>
      <x:c r="E1726" s="99" t="str"/>
      <x:c r="F1726" s="99" t="str">
        <x:v>done 做得好</x:v>
      </x:c>
      <x:c r="G1726" s="99" t="str">
        <x:v>9. well done 做得好</x:v>
      </x:c>
    </x:row>
    <x:row r="1727" ht="18" customHeight="1">
      <x:c r="A1727" s="99" t="str">
        <x:v>W</x:v>
      </x:c>
      <x:c r="B1727" s="99" t="str">
        <x:v>短语</x:v>
      </x:c>
      <x:c r="C1727" s="99" t="n">
        <x:v>10</x:v>
      </x:c>
      <x:c r="D1727" s="99" t="str">
        <x:v>what</x:v>
      </x:c>
      <x:c r="E1727" s="99" t="str"/>
      <x:c r="F1727" s="99" t="str">
        <x:v>about…? ……怎么样？</x:v>
      </x:c>
      <x:c r="G1727" s="99" t="str">
        <x:v>10. what about…? ……怎么样？</x:v>
      </x:c>
    </x:row>
    <x:row r="1728" ht="18" customHeight="1">
      <x:c r="A1728" s="99" t="str">
        <x:v>W</x:v>
      </x:c>
      <x:c r="B1728" s="99" t="str">
        <x:v>短语</x:v>
      </x:c>
      <x:c r="C1728" s="99" t="n">
        <x:v>11</x:v>
      </x:c>
      <x:c r="D1728" s="99" t="str">
        <x:v>what's</x:v>
      </x:c>
      <x:c r="E1728" s="99" t="str"/>
      <x:c r="F1728" s="99" t="str">
        <x:v>wrong with…? ……怎么了？</x:v>
      </x:c>
      <x:c r="G1728" s="99" t="str">
        <x:v>11. what's wrong with…? ……怎么了？</x:v>
      </x:c>
    </x:row>
    <x:row r="1729" ht="18" customHeight="1">
      <x:c r="A1729" s="99" t="str">
        <x:v>W</x:v>
      </x:c>
      <x:c r="B1729" s="99" t="str">
        <x:v>短语</x:v>
      </x:c>
      <x:c r="C1729" s="99" t="n">
        <x:v>12</x:v>
      </x:c>
      <x:c r="D1729" s="99" t="str">
        <x:v>win</x:v>
      </x:c>
      <x:c r="E1729" s="99" t="str"/>
      <x:c r="F1729" s="99" t="str">
        <x:v>the game 赢得比赛</x:v>
      </x:c>
      <x:c r="G1729" s="99" t="str">
        <x:v>12. win the game 赢得比赛</x:v>
      </x:c>
    </x:row>
    <x:row r="1730" ht="18" customHeight="1">
      <x:c r="A1730" s="99" t="str">
        <x:v>W</x:v>
      </x:c>
      <x:c r="B1730" s="99" t="str">
        <x:v>短语</x:v>
      </x:c>
      <x:c r="C1730" s="99" t="n">
        <x:v>13</x:v>
      </x:c>
      <x:c r="D1730" s="99" t="str">
        <x:v>with</x:v>
      </x:c>
      <x:c r="E1730" s="99" t="str"/>
      <x:c r="F1730" s="99" t="str">
        <x:v>the help of 在……的帮助下</x:v>
      </x:c>
      <x:c r="G1730" s="99" t="str">
        <x:v>13. with the help of 在……的帮助下</x:v>
      </x:c>
    </x:row>
    <x:row r="1731" ht="18" customHeight="1">
      <x:c r="A1731" s="99" t="str">
        <x:v>W</x:v>
      </x:c>
      <x:c r="B1731" s="99" t="str">
        <x:v>短语</x:v>
      </x:c>
      <x:c r="C1731" s="99" t="n">
        <x:v>14</x:v>
      </x:c>
      <x:c r="D1731" s="99" t="str">
        <x:v>work</x:v>
      </x:c>
      <x:c r="E1731" s="99" t="str"/>
      <x:c r="F1731" s="99" t="str">
        <x:v>hard 努力工作；努力学习</x:v>
      </x:c>
      <x:c r="G1731" s="99" t="str">
        <x:v>14. work hard 努力工作；努力学习</x:v>
      </x:c>
    </x:row>
    <x:row r="1732" ht="18" customHeight="1">
      <x:c r="A1732" s="99" t="str">
        <x:v>W</x:v>
      </x:c>
      <x:c r="B1732" s="99" t="str">
        <x:v>短语</x:v>
      </x:c>
      <x:c r="C1732" s="99" t="n">
        <x:v>15</x:v>
      </x:c>
      <x:c r="D1732" s="99" t="str">
        <x:v>worry</x:v>
      </x:c>
      <x:c r="E1732" s="99" t="str"/>
      <x:c r="F1732" s="99" t="str">
        <x:v>about 担心；忧虑</x:v>
      </x:c>
      <x:c r="G1732" s="99" t="str">
        <x:v>15. worry about 担心；忧虑</x:v>
      </x:c>
    </x:row>
    <x:row r="1733" ht="18" customHeight="1">
      <x:c r="A1733" s="99" t="str">
        <x:v>W</x:v>
      </x:c>
      <x:c r="B1733" s="99" t="str">
        <x:v>短语</x:v>
      </x:c>
      <x:c r="C1733" s="99" t="n">
        <x:v>16</x:v>
      </x:c>
      <x:c r="D1733" s="99" t="str">
        <x:v>write</x:v>
      </x:c>
      <x:c r="E1733" s="99" t="str"/>
      <x:c r="F1733" s="99" t="str">
        <x:v>down 写下；记下</x:v>
      </x:c>
      <x:c r="G1733" s="99" t="str">
        <x:v>16. write down 写下；记下</x:v>
      </x:c>
    </x:row>
    <x:row r="1734" ht="18" customHeight="1">
      <x:c r="A1734" s="99" t="str">
        <x:v>W</x:v>
      </x:c>
      <x:c r="B1734" s="99" t="str">
        <x:v>短语</x:v>
      </x:c>
      <x:c r="C1734" s="99" t="n">
        <x:v>17</x:v>
      </x:c>
      <x:c r="D1734" s="99" t="str">
        <x:v>write</x:v>
      </x:c>
      <x:c r="E1734" s="99" t="str"/>
      <x:c r="F1734" s="99" t="str">
        <x:v>to sb. 给某人写信</x:v>
      </x:c>
      <x:c r="G1734" s="99" t="str">
        <x:v>17. write to sb. 给某人写信</x:v>
      </x:c>
    </x:row>
    <x:row r="1735" ht="18" customHeight="1">
      <x:c r="A1735" s="99" t="str">
        <x:v>Y</x:v>
      </x:c>
      <x:c r="B1735" s="99" t="str">
        <x:v>名词</x:v>
      </x:c>
      <x:c r="C1735" s="99" t="n">
        <x:v>1</x:v>
      </x:c>
      <x:c r="D1735" s="99" t="str">
        <x:v>year</x:v>
      </x:c>
      <x:c r="E1735" s="99" t="str">
        <x:v>/jɪə/</x:v>
      </x:c>
      <x:c r="F1735" s="99" t="str">
        <x:v>年；年份</x:v>
      </x:c>
      <x:c r="G1735" s="99" t="str">
        <x:v>1. year /jɪə/ 年；年份</x:v>
      </x:c>
    </x:row>
    <x:row r="1736" ht="18" customHeight="1">
      <x:c r="A1736" s="99" t="str">
        <x:v>Y</x:v>
      </x:c>
      <x:c r="B1736" s="99" t="str">
        <x:v>名词</x:v>
      </x:c>
      <x:c r="C1736" s="99" t="n">
        <x:v>2</x:v>
      </x:c>
      <x:c r="D1736" s="99" t="str">
        <x:v>yellow</x:v>
      </x:c>
      <x:c r="E1736" s="99" t="str">
        <x:v>/ˈjeləʊ/</x:v>
      </x:c>
      <x:c r="F1736" s="99" t="str">
        <x:v>黄色；黄色的东西（兼作形容词）</x:v>
      </x:c>
      <x:c r="G1736" s="99" t="str">
        <x:v>2. yellow /ˈjeləʊ/ 黄色；黄色的东西（兼作形容词）</x:v>
      </x:c>
    </x:row>
    <x:row r="1737" ht="18" customHeight="1">
      <x:c r="A1737" s="99" t="str">
        <x:v>Y</x:v>
      </x:c>
      <x:c r="B1737" s="99" t="str">
        <x:v>名词</x:v>
      </x:c>
      <x:c r="C1737" s="99" t="n">
        <x:v>3</x:v>
      </x:c>
      <x:c r="D1737" s="99" t="str">
        <x:v>yesterday</x:v>
      </x:c>
      <x:c r="E1737" s="99" t="str">
        <x:v>/ˈjestədeɪ/</x:v>
      </x:c>
      <x:c r="F1737" s="99" t="str">
        <x:v>昨天</x:v>
      </x:c>
      <x:c r="G1737" s="99" t="str">
        <x:v>3. yesterday /ˈjestədeɪ/ 昨天</x:v>
      </x:c>
    </x:row>
    <x:row r="1738" ht="18" customHeight="1">
      <x:c r="A1738" s="99" t="str">
        <x:v>Y</x:v>
      </x:c>
      <x:c r="B1738" s="99" t="str">
        <x:v>名词</x:v>
      </x:c>
      <x:c r="C1738" s="99" t="n">
        <x:v>4</x:v>
      </x:c>
      <x:c r="D1738" s="99" t="str">
        <x:v>you</x:v>
      </x:c>
      <x:c r="E1738" s="99" t="str">
        <x:v>/juː/</x:v>
      </x:c>
      <x:c r="F1738" s="99" t="str">
        <x:v>你；你们（代词）</x:v>
      </x:c>
      <x:c r="G1738" s="99" t="str">
        <x:v>4. you /juː/ 你；你们（代词）</x:v>
      </x:c>
    </x:row>
    <x:row r="1739" ht="18" customHeight="1">
      <x:c r="A1739" s="99" t="str">
        <x:v>Y</x:v>
      </x:c>
      <x:c r="B1739" s="99" t="str">
        <x:v>名词</x:v>
      </x:c>
      <x:c r="C1739" s="99" t="n">
        <x:v>5</x:v>
      </x:c>
      <x:c r="D1739" s="99" t="str">
        <x:v>your</x:v>
      </x:c>
      <x:c r="E1739" s="99" t="str">
        <x:v>/jɔː/</x:v>
      </x:c>
      <x:c r="F1739" s="99" t="str">
        <x:v>你的；你们的（形容词性物主代词）</x:v>
      </x:c>
      <x:c r="G1739" s="99" t="str">
        <x:v>5. your /jɔː/ 你的；你们的（形容词性物主代词）</x:v>
      </x:c>
    </x:row>
    <x:row r="1740" ht="18" customHeight="1">
      <x:c r="A1740" s="99" t="str">
        <x:v>Y</x:v>
      </x:c>
      <x:c r="B1740" s="99" t="str">
        <x:v>名词</x:v>
      </x:c>
      <x:c r="C1740" s="99" t="n">
        <x:v>6</x:v>
      </x:c>
      <x:c r="D1740" s="99" t="str">
        <x:v>yours</x:v>
      </x:c>
      <x:c r="E1740" s="99" t="str">
        <x:v>/jɔːz/</x:v>
      </x:c>
      <x:c r="F1740" s="99" t="str">
        <x:v>你的；你们的（名词性物主代词）</x:v>
      </x:c>
      <x:c r="G1740" s="99" t="str">
        <x:v>6. yours /jɔːz/ 你的；你们的（名词性物主代词）</x:v>
      </x:c>
    </x:row>
    <x:row r="1741" ht="18" customHeight="1">
      <x:c r="A1741" s="99" t="str">
        <x:v>Y</x:v>
      </x:c>
      <x:c r="B1741" s="99" t="str">
        <x:v>名词</x:v>
      </x:c>
      <x:c r="C1741" s="99" t="n">
        <x:v>7</x:v>
      </x:c>
      <x:c r="D1741" s="99" t="str">
        <x:v>yourself</x:v>
      </x:c>
      <x:c r="E1741" s="99" t="str">
        <x:v>/jɔːˈself/</x:v>
      </x:c>
      <x:c r="F1741" s="99" t="str">
        <x:v>你自己；你们自己</x:v>
      </x:c>
      <x:c r="G1741" s="99" t="str">
        <x:v>7. yourself /jɔːˈself/ 你自己；你们自己</x:v>
      </x:c>
    </x:row>
    <x:row r="1742" ht="18" customHeight="1">
      <x:c r="A1742" s="99" t="str">
        <x:v>Y</x:v>
      </x:c>
      <x:c r="B1742" s="99" t="str">
        <x:v>名词</x:v>
      </x:c>
      <x:c r="C1742" s="99" t="n">
        <x:v>8</x:v>
      </x:c>
      <x:c r="D1742" s="99" t="str">
        <x:v>youth</x:v>
      </x:c>
      <x:c r="E1742" s="99" t="str">
        <x:v>/juːθ/</x:v>
      </x:c>
      <x:c r="F1742" s="99" t="str">
        <x:v>青春；年轻（补充高频词）</x:v>
      </x:c>
      <x:c r="G1742" s="99" t="str">
        <x:v>8. youth /juːθ/ 青春；年轻（补充高频词）</x:v>
      </x:c>
    </x:row>
    <x:row r="1743" ht="18" customHeight="1">
      <x:c r="A1743" s="99" t="str">
        <x:v>Y</x:v>
      </x:c>
      <x:c r="B1743" s="99" t="str">
        <x:v>动词</x:v>
      </x:c>
      <x:c r="C1743" s="99" t="n">
        <x:v>1</x:v>
      </x:c>
      <x:c r="D1743" s="99" t="str">
        <x:v>yawn</x:v>
      </x:c>
      <x:c r="E1743" s="99" t="str">
        <x:v>/jɔːn/</x:v>
      </x:c>
      <x:c r="F1743" s="99" t="str">
        <x:v>打哈欠（补充高频词）</x:v>
      </x:c>
      <x:c r="G1743" s="99" t="str">
        <x:v>1. yawn /jɔːn/ 打哈欠（补充高频词）</x:v>
      </x:c>
    </x:row>
    <x:row r="1744" ht="18" customHeight="1">
      <x:c r="A1744" s="99" t="str">
        <x:v>Y</x:v>
      </x:c>
      <x:c r="B1744" s="99" t="str">
        <x:v>动词</x:v>
      </x:c>
      <x:c r="C1744" s="99" t="n">
        <x:v>2</x:v>
      </x:c>
      <x:c r="D1744" s="99" t="str">
        <x:v>yell</x:v>
      </x:c>
      <x:c r="E1744" s="99" t="str">
        <x:v>/jel/</x:v>
      </x:c>
      <x:c r="F1744" s="99" t="str">
        <x:v>大叫；大喊（补充高频词）</x:v>
      </x:c>
      <x:c r="G1744" s="99" t="str">
        <x:v>2. yell /jel/ 大叫；大喊（补充高频词）</x:v>
      </x:c>
    </x:row>
    <x:row r="1745" ht="18" customHeight="1">
      <x:c r="A1745" s="99" t="str">
        <x:v>Y</x:v>
      </x:c>
      <x:c r="B1745" s="99" t="str">
        <x:v>形容词</x:v>
      </x:c>
      <x:c r="C1745" s="99" t="n">
        <x:v>1</x:v>
      </x:c>
      <x:c r="D1745" s="99" t="str">
        <x:v>yellow</x:v>
      </x:c>
      <x:c r="E1745" s="99" t="str">
        <x:v>/ˈjeləʊ/</x:v>
      </x:c>
      <x:c r="F1745" s="99" t="str">
        <x:v>黄色的</x:v>
      </x:c>
      <x:c r="G1745" s="99" t="str">
        <x:v>1. yellow /ˈjeləʊ/ 黄色的</x:v>
      </x:c>
    </x:row>
    <x:row r="1746" ht="18" customHeight="1">
      <x:c r="A1746" s="99" t="str">
        <x:v>Y</x:v>
      </x:c>
      <x:c r="B1746" s="99" t="str">
        <x:v>形容词</x:v>
      </x:c>
      <x:c r="C1746" s="99" t="n">
        <x:v>2</x:v>
      </x:c>
      <x:c r="D1746" s="99" t="str">
        <x:v>young</x:v>
      </x:c>
      <x:c r="E1746" s="99" t="str">
        <x:v>/jʌŋ/</x:v>
      </x:c>
      <x:c r="F1746" s="99" t="str">
        <x:v>年轻的；年幼的</x:v>
      </x:c>
      <x:c r="G1746" s="99" t="str">
        <x:v>2. young /jʌŋ/ 年轻的；年幼的</x:v>
      </x:c>
    </x:row>
    <x:row r="1747" ht="18" customHeight="1">
      <x:c r="A1747" s="99" t="str">
        <x:v>Y</x:v>
      </x:c>
      <x:c r="B1747" s="99" t="str">
        <x:v>副词</x:v>
      </x:c>
      <x:c r="C1747" s="99" t="n">
        <x:v>1</x:v>
      </x:c>
      <x:c r="D1747" s="99" t="str">
        <x:v>yet</x:v>
      </x:c>
      <x:c r="E1747" s="99" t="str">
        <x:v>/jet/</x:v>
      </x:c>
      <x:c r="F1747" s="99" t="str">
        <x:v>还；尚；仍然</x:v>
      </x:c>
      <x:c r="G1747" s="99" t="str">
        <x:v>1. yet /jet/ 还；尚；仍然</x:v>
      </x:c>
    </x:row>
    <x:row r="1748" ht="18" customHeight="1">
      <x:c r="A1748" s="99" t="str">
        <x:v>Y</x:v>
      </x:c>
      <x:c r="B1748" s="99" t="str">
        <x:v>副词</x:v>
      </x:c>
      <x:c r="C1748" s="99" t="n">
        <x:v>2</x:v>
      </x:c>
      <x:c r="D1748" s="99" t="str">
        <x:v>yesterday</x:v>
      </x:c>
      <x:c r="E1748" s="99" t="str">
        <x:v>/ˈjestədeɪ/</x:v>
      </x:c>
      <x:c r="F1748" s="99" t="str">
        <x:v>昨天；近日</x:v>
      </x:c>
      <x:c r="G1748" s="99" t="str">
        <x:v>2. yesterday /ˈjestədeɪ/ 昨天；近日</x:v>
      </x:c>
    </x:row>
    <x:row r="1749" ht="18" customHeight="1">
      <x:c r="A1749" s="99" t="str">
        <x:v>Y</x:v>
      </x:c>
      <x:c r="B1749" s="99" t="str">
        <x:v>代词</x:v>
      </x:c>
      <x:c r="C1749" s="99" t="n">
        <x:v>1</x:v>
      </x:c>
      <x:c r="D1749" s="99" t="str">
        <x:v>you</x:v>
      </x:c>
      <x:c r="E1749" s="99" t="str">
        <x:v>/juː/</x:v>
      </x:c>
      <x:c r="F1749" s="99" t="str">
        <x:v>你；你们</x:v>
      </x:c>
      <x:c r="G1749" s="99" t="str">
        <x:v>1. you /juː/ 你；你们</x:v>
      </x:c>
    </x:row>
    <x:row r="1750" ht="18" customHeight="1">
      <x:c r="A1750" s="99" t="str">
        <x:v>Y</x:v>
      </x:c>
      <x:c r="B1750" s="99" t="str">
        <x:v>代词</x:v>
      </x:c>
      <x:c r="C1750" s="99" t="n">
        <x:v>2</x:v>
      </x:c>
      <x:c r="D1750" s="99" t="str">
        <x:v>your</x:v>
      </x:c>
      <x:c r="E1750" s="99" t="str">
        <x:v>/jɔː/</x:v>
      </x:c>
      <x:c r="F1750" s="99" t="str">
        <x:v>你的；你们的</x:v>
      </x:c>
      <x:c r="G1750" s="99" t="str">
        <x:v>2. your /jɔː/ 你的；你们的</x:v>
      </x:c>
    </x:row>
    <x:row r="1751" ht="18" customHeight="1">
      <x:c r="A1751" s="99" t="str">
        <x:v>Y</x:v>
      </x:c>
      <x:c r="B1751" s="99" t="str">
        <x:v>代词</x:v>
      </x:c>
      <x:c r="C1751" s="99" t="n">
        <x:v>3</x:v>
      </x:c>
      <x:c r="D1751" s="99" t="str">
        <x:v>yours</x:v>
      </x:c>
      <x:c r="E1751" s="99" t="str">
        <x:v>/jɔːz/</x:v>
      </x:c>
      <x:c r="F1751" s="99" t="str">
        <x:v>你的；你们的</x:v>
      </x:c>
      <x:c r="G1751" s="99" t="str">
        <x:v>3. yours /jɔːz/ 你的；你们的</x:v>
      </x:c>
    </x:row>
    <x:row r="1752" ht="18" customHeight="1">
      <x:c r="A1752" s="99" t="str">
        <x:v>Y</x:v>
      </x:c>
      <x:c r="B1752" s="99" t="str">
        <x:v>代词</x:v>
      </x:c>
      <x:c r="C1752" s="99" t="n">
        <x:v>4</x:v>
      </x:c>
      <x:c r="D1752" s="99" t="str">
        <x:v>yourself</x:v>
      </x:c>
      <x:c r="E1752" s="99" t="str">
        <x:v>/jɔːˈself/</x:v>
      </x:c>
      <x:c r="F1752" s="99" t="str">
        <x:v>你自己；你们自己</x:v>
      </x:c>
      <x:c r="G1752" s="99" t="str">
        <x:v>4. yourself /jɔːˈself/ 你自己；你们自己</x:v>
      </x:c>
    </x:row>
    <x:row r="1753" ht="18" customHeight="1">
      <x:c r="A1753" s="99" t="str">
        <x:v>Y</x:v>
      </x:c>
      <x:c r="B1753" s="99" t="str">
        <x:v>短语</x:v>
      </x:c>
      <x:c r="C1753" s="99" t="n">
        <x:v>1</x:v>
      </x:c>
      <x:c r="D1753" s="99" t="str">
        <x:v>year</x:v>
      </x:c>
      <x:c r="E1753" s="99" t="str"/>
      <x:c r="F1753" s="99" t="str">
        <x:v>after year 年复一年</x:v>
      </x:c>
      <x:c r="G1753" s="99" t="str">
        <x:v>1. year after year 年复一年</x:v>
      </x:c>
    </x:row>
    <x:row r="1754" ht="18" customHeight="1">
      <x:c r="A1754" s="99" t="str">
        <x:v>Y</x:v>
      </x:c>
      <x:c r="B1754" s="99" t="str">
        <x:v>短语</x:v>
      </x:c>
      <x:c r="C1754" s="99" t="n">
        <x:v>2</x:v>
      </x:c>
      <x:c r="D1754" s="99" t="str">
        <x:v>yet</x:v>
      </x:c>
      <x:c r="E1754" s="99" t="str"/>
      <x:c r="F1754" s="99" t="str">
        <x:v>to come 尚未发生；即将来临</x:v>
      </x:c>
      <x:c r="G1754" s="99" t="str">
        <x:v>2. yet to come 尚未发生；即将来临</x:v>
      </x:c>
    </x:row>
    <x:row r="1755" ht="18" customHeight="1">
      <x:c r="A1755" s="99" t="str">
        <x:v>Y</x:v>
      </x:c>
      <x:c r="B1755" s="99" t="str">
        <x:v>短语</x:v>
      </x:c>
      <x:c r="C1755" s="99" t="n">
        <x:v>3</x:v>
      </x:c>
      <x:c r="D1755" s="99" t="str">
        <x:v>young</x:v>
      </x:c>
      <x:c r="E1755" s="99" t="str"/>
      <x:c r="F1755" s="99" t="str">
        <x:v>people 年轻人</x:v>
      </x:c>
      <x:c r="G1755" s="99" t="str">
        <x:v>3. young people 年轻人</x:v>
      </x:c>
    </x:row>
    <x:row r="1756" ht="18" customHeight="1">
      <x:c r="A1756" s="99" t="str">
        <x:v>Y</x:v>
      </x:c>
      <x:c r="B1756" s="99" t="str">
        <x:v>短语</x:v>
      </x:c>
      <x:c r="C1756" s="99" t="n">
        <x:v>4</x:v>
      </x:c>
      <x:c r="D1756" s="99" t="str">
        <x:v>your</x:v>
      </x:c>
      <x:c r="E1756" s="99" t="str"/>
      <x:c r="F1756" s="99" t="str">
        <x:v>turn 轮到你了</x:v>
      </x:c>
      <x:c r="G1756" s="99" t="str">
        <x:v>4. your turn 轮到你了</x:v>
      </x:c>
    </x:row>
    <x:row r="1757" ht="18" customHeight="1">
      <x:c r="A1757" s="99" t="str">
        <x:v>Z</x:v>
      </x:c>
      <x:c r="B1757" s="99" t="str">
        <x:v>名词</x:v>
      </x:c>
      <x:c r="C1757" s="99" t="n">
        <x:v>1</x:v>
      </x:c>
      <x:c r="D1757" s="99" t="str">
        <x:v>zebra</x:v>
      </x:c>
      <x:c r="E1757" s="99" t="str">
        <x:v>/ˈziːbrə/</x:v>
      </x:c>
      <x:c r="F1757" s="99" t="str">
        <x:v>斑马</x:v>
      </x:c>
      <x:c r="G1757" s="99" t="str">
        <x:v>1. zebra /ˈziːbrə/ 斑马</x:v>
      </x:c>
    </x:row>
    <x:row r="1758" ht="18" customHeight="1">
      <x:c r="A1758" s="99" t="str">
        <x:v>Z</x:v>
      </x:c>
      <x:c r="B1758" s="99" t="str">
        <x:v>名词</x:v>
      </x:c>
      <x:c r="C1758" s="99" t="n">
        <x:v>2</x:v>
      </x:c>
      <x:c r="D1758" s="99" t="str">
        <x:v>zoo</x:v>
      </x:c>
      <x:c r="E1758" s="99" t="str">
        <x:v>/zuː/</x:v>
      </x:c>
      <x:c r="F1758" s="99" t="str">
        <x:v>动物园</x:v>
      </x:c>
      <x:c r="G1758" s="99" t="str">
        <x:v>2. zoo /zuː/ 动物园</x:v>
      </x:c>
    </x:row>
    <x:row r="1759" ht="18" customHeight="1">
      <x:c r="A1759" s="99" t="str">
        <x:v>Z</x:v>
      </x:c>
      <x:c r="B1759" s="99" t="str">
        <x:v>形容词</x:v>
      </x:c>
      <x:c r="C1759" s="99" t="n">
        <x:v>1</x:v>
      </x:c>
      <x:c r="D1759" s="99" t="str">
        <x:v>zero</x:v>
      </x:c>
      <x:c r="E1759" s="99" t="str">
        <x:v>/ˈzɪərəʊ/</x:v>
      </x:c>
      <x:c r="F1759" s="99" t="str">
        <x:v>零的；没有的</x:v>
      </x:c>
      <x:c r="G1759" s="99" t="str">
        <x:v>1. zero /ˈzɪərəʊ/ 零的；没有的</x:v>
      </x:c>
    </x:row>
    <x:row r="1760" ht="18" customHeight="1">
      <x:c r="A1760" s="99" t="str">
        <x:v>Z</x:v>
      </x:c>
      <x:c r="B1760" s="99" t="str">
        <x:v>数词</x:v>
      </x:c>
      <x:c r="C1760" s="99" t="str"/>
      <x:c r="D1760" s="99" t="str">
        <x:v>zero</x:v>
      </x:c>
      <x:c r="E1760" s="99" t="str">
        <x:v>/ˈzɪərəʊ/</x:v>
      </x:c>
      <x:c r="F1760" s="99" t="str">
        <x:v>零</x:v>
      </x:c>
      <x:c r="G1760" s="99" t="str">
        <x:v>zero /ˈzɪərəʊ/ 零</x:v>
      </x:c>
    </x:row>
  </x:sheetData>
  <x:tableParts count="1">
    <x:tablePart xmlns:r="http://schemas.openxmlformats.org/officeDocument/2006/relationships" r:id="R4fe9ef38c70e40e3"/>
  </x:tableParts>
  <x:printOptions horizontalCentered="1"/>
  <x:pageMargins left="0.25" right="0.25" top="0.35" bottom="0.35" header="0.15" footer="0.15"/>
  <x:pageSetup paperSize="9" orientation="landscape" fitToWidth="1" fitToHeight="0" scale="80"/>
</x:worksheet>
</file>